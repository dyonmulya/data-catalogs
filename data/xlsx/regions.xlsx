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Dyo Wiranata Mulya\Documents\GitHub\@dyonmulya\resources\data\xlsx\"/>
    </mc:Choice>
  </mc:AlternateContent>
  <xr:revisionPtr revIDLastSave="0" documentId="13_ncr:1_{C68DC5DF-D814-4239-9C6C-F37AEA2F412E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data" sheetId="1" r:id="rId1"/>
    <sheet name="array.php" sheetId="2" r:id="rId2"/>
  </sheets>
  <definedNames>
    <definedName name="_xlnm._FilterDatabase" localSheetId="1" hidden="1">array.php!#REF!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2" i="2" l="1"/>
  <c r="B32" i="2" s="1"/>
  <c r="C32" i="2" s="1"/>
  <c r="A33" i="2"/>
  <c r="D33" i="2" s="1"/>
  <c r="E33" i="2" s="1"/>
  <c r="A34" i="2"/>
  <c r="F34" i="2" s="1"/>
  <c r="G34" i="2" s="1"/>
  <c r="A23" i="2"/>
  <c r="B23" i="2" s="1"/>
  <c r="C23" i="2" s="1"/>
  <c r="H23" i="2"/>
  <c r="I23" i="2" s="1"/>
  <c r="J23" i="2"/>
  <c r="A24" i="2"/>
  <c r="D24" i="2" s="1"/>
  <c r="E24" i="2" s="1"/>
  <c r="A25" i="2"/>
  <c r="F25" i="2" s="1"/>
  <c r="G25" i="2" s="1"/>
  <c r="D25" i="2"/>
  <c r="E25" i="2" s="1"/>
  <c r="A26" i="2"/>
  <c r="H26" i="2" s="1"/>
  <c r="I26" i="2" s="1"/>
  <c r="A27" i="2"/>
  <c r="J27" i="2" s="1"/>
  <c r="F27" i="2"/>
  <c r="G27" i="2"/>
  <c r="H27" i="2"/>
  <c r="I27" i="2" s="1"/>
  <c r="A28" i="2"/>
  <c r="B28" i="2" s="1"/>
  <c r="C28" i="2" s="1"/>
  <c r="H28" i="2"/>
  <c r="I28" i="2"/>
  <c r="J28" i="2"/>
  <c r="A29" i="2"/>
  <c r="B29" i="2" s="1"/>
  <c r="C29" i="2" s="1"/>
  <c r="J29" i="2"/>
  <c r="A30" i="2"/>
  <c r="D30" i="2" s="1"/>
  <c r="E30" i="2" s="1"/>
  <c r="B30" i="2"/>
  <c r="C30" i="2" s="1"/>
  <c r="A31" i="2"/>
  <c r="B31" i="2" s="1"/>
  <c r="C31" i="2" s="1"/>
  <c r="D31" i="2"/>
  <c r="E31" i="2" s="1"/>
  <c r="A12" i="2"/>
  <c r="D12" i="2" s="1"/>
  <c r="E12" i="2" s="1"/>
  <c r="B12" i="2"/>
  <c r="C12" i="2" s="1"/>
  <c r="H12" i="2"/>
  <c r="I12" i="2" s="1"/>
  <c r="J12" i="2"/>
  <c r="A13" i="2"/>
  <c r="D13" i="2" s="1"/>
  <c r="E13" i="2" s="1"/>
  <c r="A14" i="2"/>
  <c r="H14" i="2" s="1"/>
  <c r="I14" i="2" s="1"/>
  <c r="B14" i="2"/>
  <c r="C14" i="2"/>
  <c r="D14" i="2"/>
  <c r="E14" i="2" s="1"/>
  <c r="F14" i="2"/>
  <c r="G14" i="2" s="1"/>
  <c r="A15" i="2"/>
  <c r="J15" i="2" s="1"/>
  <c r="B15" i="2"/>
  <c r="C15" i="2" s="1"/>
  <c r="D15" i="2"/>
  <c r="E15" i="2"/>
  <c r="F15" i="2"/>
  <c r="G15" i="2" s="1"/>
  <c r="H15" i="2"/>
  <c r="I15" i="2" s="1"/>
  <c r="A16" i="2"/>
  <c r="B16" i="2" s="1"/>
  <c r="C16" i="2" s="1"/>
  <c r="D16" i="2"/>
  <c r="E16" i="2" s="1"/>
  <c r="F16" i="2"/>
  <c r="G16" i="2"/>
  <c r="H16" i="2"/>
  <c r="I16" i="2" s="1"/>
  <c r="J16" i="2"/>
  <c r="A17" i="2"/>
  <c r="B17" i="2" s="1"/>
  <c r="C17" i="2" s="1"/>
  <c r="F17" i="2"/>
  <c r="G17" i="2" s="1"/>
  <c r="H17" i="2"/>
  <c r="I17" i="2"/>
  <c r="J17" i="2"/>
  <c r="A18" i="2"/>
  <c r="D18" i="2" s="1"/>
  <c r="E18" i="2" s="1"/>
  <c r="B18" i="2"/>
  <c r="C18" i="2" s="1"/>
  <c r="H18" i="2"/>
  <c r="I18" i="2" s="1"/>
  <c r="J18" i="2"/>
  <c r="A19" i="2"/>
  <c r="D19" i="2" s="1"/>
  <c r="E19" i="2" s="1"/>
  <c r="B19" i="2"/>
  <c r="C19" i="2" s="1"/>
  <c r="A20" i="2"/>
  <c r="H20" i="2" s="1"/>
  <c r="I20" i="2" s="1"/>
  <c r="B20" i="2"/>
  <c r="C20" i="2"/>
  <c r="D20" i="2"/>
  <c r="E20" i="2" s="1"/>
  <c r="F20" i="2"/>
  <c r="G20" i="2" s="1"/>
  <c r="A21" i="2"/>
  <c r="J21" i="2" s="1"/>
  <c r="B21" i="2"/>
  <c r="C21" i="2" s="1"/>
  <c r="D21" i="2"/>
  <c r="E21" i="2"/>
  <c r="F21" i="2"/>
  <c r="G21" i="2" s="1"/>
  <c r="H21" i="2"/>
  <c r="I21" i="2" s="1"/>
  <c r="A22" i="2"/>
  <c r="B22" i="2" s="1"/>
  <c r="C22" i="2" s="1"/>
  <c r="D22" i="2"/>
  <c r="E22" i="2"/>
  <c r="F22" i="2"/>
  <c r="G22" i="2"/>
  <c r="H22" i="2"/>
  <c r="I22" i="2" s="1"/>
  <c r="J22" i="2"/>
  <c r="E4" i="2"/>
  <c r="E5" i="2"/>
  <c r="E6" i="2"/>
  <c r="E7" i="2"/>
  <c r="E8" i="2"/>
  <c r="E9" i="2"/>
  <c r="E10" i="2"/>
  <c r="E11" i="2"/>
  <c r="E3" i="2"/>
  <c r="G3" i="2"/>
  <c r="D4" i="2"/>
  <c r="D5" i="2"/>
  <c r="D6" i="2"/>
  <c r="D7" i="2"/>
  <c r="D8" i="2"/>
  <c r="D9" i="2"/>
  <c r="D10" i="2"/>
  <c r="D11" i="2"/>
  <c r="D3" i="2"/>
  <c r="B3" i="2"/>
  <c r="D1" i="2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A8" i="2"/>
  <c r="J8" i="2" s="1"/>
  <c r="A9" i="2"/>
  <c r="B9" i="2" s="1"/>
  <c r="C9" i="2" s="1"/>
  <c r="A10" i="2"/>
  <c r="B10" i="2" s="1"/>
  <c r="C10" i="2" s="1"/>
  <c r="A11" i="2"/>
  <c r="F11" i="2" s="1"/>
  <c r="G11" i="2" s="1"/>
  <c r="H1" i="2"/>
  <c r="F1" i="2"/>
  <c r="B1" i="2"/>
  <c r="C6" i="1"/>
  <c r="A7" i="2" s="1"/>
  <c r="B7" i="2" s="1"/>
  <c r="C7" i="2" s="1"/>
  <c r="C5" i="1"/>
  <c r="A6" i="2" s="1"/>
  <c r="H6" i="2" s="1"/>
  <c r="I6" i="2" s="1"/>
  <c r="C4" i="1"/>
  <c r="A5" i="2" s="1"/>
  <c r="F5" i="2" s="1"/>
  <c r="G5" i="2" s="1"/>
  <c r="C2" i="1"/>
  <c r="A3" i="2" s="1"/>
  <c r="C3" i="1"/>
  <c r="A4" i="2" s="1"/>
  <c r="B33" i="2" l="1"/>
  <c r="C33" i="2" s="1"/>
  <c r="F32" i="2"/>
  <c r="G32" i="2" s="1"/>
  <c r="B34" i="2"/>
  <c r="C34" i="2" s="1"/>
  <c r="J33" i="2"/>
  <c r="H33" i="2"/>
  <c r="I33" i="2" s="1"/>
  <c r="H34" i="2"/>
  <c r="I34" i="2" s="1"/>
  <c r="F33" i="2"/>
  <c r="G33" i="2" s="1"/>
  <c r="D32" i="2"/>
  <c r="E32" i="2" s="1"/>
  <c r="D34" i="2"/>
  <c r="E34" i="2" s="1"/>
  <c r="J32" i="2"/>
  <c r="H32" i="2"/>
  <c r="I32" i="2" s="1"/>
  <c r="J34" i="2"/>
  <c r="J30" i="2"/>
  <c r="H29" i="2"/>
  <c r="I29" i="2" s="1"/>
  <c r="F28" i="2"/>
  <c r="G28" i="2" s="1"/>
  <c r="D27" i="2"/>
  <c r="E27" i="2" s="1"/>
  <c r="B26" i="2"/>
  <c r="C26" i="2" s="1"/>
  <c r="J24" i="2"/>
  <c r="J31" i="2"/>
  <c r="H30" i="2"/>
  <c r="I30" i="2" s="1"/>
  <c r="F29" i="2"/>
  <c r="G29" i="2" s="1"/>
  <c r="D28" i="2"/>
  <c r="E28" i="2" s="1"/>
  <c r="B27" i="2"/>
  <c r="C27" i="2" s="1"/>
  <c r="J25" i="2"/>
  <c r="H24" i="2"/>
  <c r="I24" i="2" s="1"/>
  <c r="F23" i="2"/>
  <c r="G23" i="2" s="1"/>
  <c r="F26" i="2"/>
  <c r="G26" i="2" s="1"/>
  <c r="B24" i="2"/>
  <c r="C24" i="2" s="1"/>
  <c r="D26" i="2"/>
  <c r="E26" i="2" s="1"/>
  <c r="B25" i="2"/>
  <c r="C25" i="2" s="1"/>
  <c r="F30" i="2"/>
  <c r="G30" i="2" s="1"/>
  <c r="J26" i="2"/>
  <c r="H25" i="2"/>
  <c r="I25" i="2" s="1"/>
  <c r="F24" i="2"/>
  <c r="G24" i="2" s="1"/>
  <c r="D23" i="2"/>
  <c r="E23" i="2" s="1"/>
  <c r="H31" i="2"/>
  <c r="I31" i="2" s="1"/>
  <c r="D29" i="2"/>
  <c r="E29" i="2" s="1"/>
  <c r="F31" i="2"/>
  <c r="G31" i="2" s="1"/>
  <c r="B13" i="2"/>
  <c r="C13" i="2" s="1"/>
  <c r="J20" i="2"/>
  <c r="H19" i="2"/>
  <c r="I19" i="2" s="1"/>
  <c r="F18" i="2"/>
  <c r="G18" i="2" s="1"/>
  <c r="D17" i="2"/>
  <c r="E17" i="2" s="1"/>
  <c r="J14" i="2"/>
  <c r="H13" i="2"/>
  <c r="I13" i="2" s="1"/>
  <c r="F12" i="2"/>
  <c r="G12" i="2" s="1"/>
  <c r="J13" i="2"/>
  <c r="F19" i="2"/>
  <c r="G19" i="2" s="1"/>
  <c r="F13" i="2"/>
  <c r="G13" i="2" s="1"/>
  <c r="J19" i="2"/>
  <c r="J3" i="2"/>
  <c r="H3" i="2"/>
  <c r="I3" i="2" s="1"/>
  <c r="B4" i="2"/>
  <c r="C4" i="2" s="1"/>
  <c r="H4" i="2"/>
  <c r="I4" i="2" s="1"/>
  <c r="J4" i="2"/>
  <c r="H8" i="2"/>
  <c r="I8" i="2" s="1"/>
  <c r="F8" i="2"/>
  <c r="G8" i="2" s="1"/>
  <c r="J10" i="2"/>
  <c r="H10" i="2"/>
  <c r="I10" i="2" s="1"/>
  <c r="J9" i="2"/>
  <c r="F7" i="2"/>
  <c r="G7" i="2" s="1"/>
  <c r="J11" i="2"/>
  <c r="B11" i="2"/>
  <c r="C11" i="2" s="1"/>
  <c r="F3" i="2"/>
  <c r="B8" i="2"/>
  <c r="C8" i="2" s="1"/>
  <c r="F9" i="2"/>
  <c r="G9" i="2" s="1"/>
  <c r="C3" i="2"/>
  <c r="H9" i="2"/>
  <c r="I9" i="2" s="1"/>
  <c r="J5" i="2"/>
  <c r="B5" i="2"/>
  <c r="C5" i="2" s="1"/>
  <c r="H7" i="2"/>
  <c r="I7" i="2" s="1"/>
  <c r="F6" i="2"/>
  <c r="G6" i="2" s="1"/>
  <c r="B6" i="2"/>
  <c r="C6" i="2" s="1"/>
  <c r="J6" i="2"/>
  <c r="H11" i="2"/>
  <c r="I11" i="2" s="1"/>
  <c r="F10" i="2"/>
  <c r="G10" i="2" s="1"/>
  <c r="J7" i="2"/>
  <c r="H5" i="2"/>
  <c r="I5" i="2" s="1"/>
  <c r="F4" i="2"/>
  <c r="G4" i="2" s="1"/>
</calcChain>
</file>

<file path=xl/sharedStrings.xml><?xml version="1.0" encoding="utf-8"?>
<sst xmlns="http://schemas.openxmlformats.org/spreadsheetml/2006/main" count="43" uniqueCount="37">
  <si>
    <t>id</t>
  </si>
  <si>
    <t>name</t>
  </si>
  <si>
    <t>Asia</t>
  </si>
  <si>
    <t>Europe</t>
  </si>
  <si>
    <t>Africa</t>
  </si>
  <si>
    <t>Oceania</t>
  </si>
  <si>
    <t>Americas</t>
  </si>
  <si>
    <t>un_code</t>
  </si>
  <si>
    <t>[</t>
  </si>
  <si>
    <t>key</t>
  </si>
  <si>
    <t>value</t>
  </si>
  <si>
    <t>]</t>
  </si>
  <si>
    <t>parent_id</t>
  </si>
  <si>
    <t>Northern Africa</t>
  </si>
  <si>
    <t>Sub-Saharan Africa</t>
  </si>
  <si>
    <t>Latin America and the Caribbean</t>
  </si>
  <si>
    <t>Northern America</t>
  </si>
  <si>
    <t>Central Asia</t>
  </si>
  <si>
    <t>Eastern Asia</t>
  </si>
  <si>
    <t>South-eastern Asia</t>
  </si>
  <si>
    <t>Southern Asia</t>
  </si>
  <si>
    <t>Western Asia</t>
  </si>
  <si>
    <t>Eastern Europe</t>
  </si>
  <si>
    <t>Northern Europe</t>
  </si>
  <si>
    <t>Southern Europe</t>
  </si>
  <si>
    <t>Western Europe</t>
  </si>
  <si>
    <t>Australia and New Zealand</t>
  </si>
  <si>
    <t>Melanesia</t>
  </si>
  <si>
    <t>Micronesia</t>
  </si>
  <si>
    <t>Polynesia</t>
  </si>
  <si>
    <t>Eastern Africa</t>
  </si>
  <si>
    <t>Middle Africa</t>
  </si>
  <si>
    <t>Southern Africa</t>
  </si>
  <si>
    <t>Western Africa</t>
  </si>
  <si>
    <t>Caribbean</t>
  </si>
  <si>
    <t>Central America</t>
  </si>
  <si>
    <t>South America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</si>
</sst>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;[Red]0"/>
  </numFmts>
  <fonts count="6" x14ac:knownFonts="1">
    <font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i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64" fontId="0" fillId="0" borderId="0" xfId="0" applyNumberFormat="1"/>
    <xf numFmtId="49" fontId="0" fillId="0" borderId="0" xfId="0" applyNumberFormat="1"/>
    <xf numFmtId="164" fontId="4" fillId="2" borderId="0" xfId="0" applyNumberFormat="1" applyFont="1" applyFill="1" applyAlignment="1">
      <alignment horizontal="center" vertical="center"/>
    </xf>
    <xf numFmtId="49" fontId="4" fillId="2" borderId="0" xfId="0" applyNumberFormat="1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5">
    <dxf>
      <numFmt numFmtId="30" formatCode="@"/>
    </dxf>
    <dxf>
      <numFmt numFmtId="30" formatCode="@"/>
    </dxf>
    <dxf>
      <numFmt numFmtId="164" formatCode="0;[Red]0"/>
    </dxf>
    <dxf>
      <numFmt numFmtId="164" formatCode="0;[Red]0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8943A0F-ACF4-4CB4-91A0-469A52C1BB3A}" name="Table1" displayName="Table1" ref="A1:D30" totalsRowShown="0">
  <autoFilter ref="A1:D30" xr:uid="{F8943A0F-ACF4-4CB4-91A0-469A52C1BB3A}"/>
  <tableColumns count="4">
    <tableColumn id="1" xr3:uid="{D73491C7-58DF-4093-92CF-D58ADBF542EF}" name="id" dataDxfId="3"/>
    <tableColumn id="2" xr3:uid="{91426EA8-F975-4D92-A187-47AA13B99F34}" name="parent_id" dataDxfId="2"/>
    <tableColumn id="3" xr3:uid="{1766251B-DCAA-4752-B428-FC6CFB679836}" name="un_code" dataDxfId="1"/>
    <tableColumn id="4" xr3:uid="{C474EC25-3AF8-41F4-89C7-5C55893FE384}" name="nam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30"/>
  <sheetViews>
    <sheetView tabSelected="1" workbookViewId="0">
      <selection activeCell="C2" sqref="C2"/>
    </sheetView>
  </sheetViews>
  <sheetFormatPr defaultRowHeight="14.5" x14ac:dyDescent="0.35"/>
  <cols>
    <col min="1" max="1" width="7.08984375" style="6" bestFit="1" customWidth="1"/>
    <col min="2" max="2" width="11.7265625" style="6" customWidth="1"/>
    <col min="3" max="3" width="10.6328125" style="7" customWidth="1"/>
    <col min="4" max="4" width="28.26953125" style="7" bestFit="1" customWidth="1"/>
  </cols>
  <sheetData>
    <row r="1" spans="1:4" s="10" customFormat="1" ht="15.5" x14ac:dyDescent="0.35">
      <c r="A1" s="8" t="s">
        <v>0</v>
      </c>
      <c r="B1" s="8" t="s">
        <v>12</v>
      </c>
      <c r="C1" s="9" t="s">
        <v>7</v>
      </c>
      <c r="D1" s="9" t="s">
        <v>1</v>
      </c>
    </row>
    <row r="2" spans="1:4" x14ac:dyDescent="0.35">
      <c r="A2" s="6">
        <v>1</v>
      </c>
      <c r="C2" s="7" t="str">
        <f>"002"</f>
        <v>002</v>
      </c>
      <c r="D2" s="7" t="s">
        <v>4</v>
      </c>
    </row>
    <row r="3" spans="1:4" x14ac:dyDescent="0.35">
      <c r="A3" s="6">
        <v>2</v>
      </c>
      <c r="C3" s="7" t="str">
        <f>"019"</f>
        <v>019</v>
      </c>
      <c r="D3" s="7" t="s">
        <v>6</v>
      </c>
    </row>
    <row r="4" spans="1:4" x14ac:dyDescent="0.35">
      <c r="A4" s="6">
        <v>3</v>
      </c>
      <c r="C4" s="7" t="str">
        <f>"142"</f>
        <v>142</v>
      </c>
      <c r="D4" s="7" t="s">
        <v>2</v>
      </c>
    </row>
    <row r="5" spans="1:4" x14ac:dyDescent="0.35">
      <c r="A5" s="6">
        <v>4</v>
      </c>
      <c r="C5" s="7" t="str">
        <f>"150"</f>
        <v>150</v>
      </c>
      <c r="D5" s="7" t="s">
        <v>3</v>
      </c>
    </row>
    <row r="6" spans="1:4" x14ac:dyDescent="0.35">
      <c r="A6" s="6">
        <v>5</v>
      </c>
      <c r="C6" s="7" t="str">
        <f>"009"</f>
        <v>009</v>
      </c>
      <c r="D6" s="7" t="s">
        <v>5</v>
      </c>
    </row>
    <row r="7" spans="1:4" x14ac:dyDescent="0.35">
      <c r="A7" s="6">
        <v>6</v>
      </c>
      <c r="B7" s="6">
        <v>1</v>
      </c>
      <c r="C7" s="7" t="str">
        <f>"015"</f>
        <v>015</v>
      </c>
      <c r="D7" s="7" t="s">
        <v>13</v>
      </c>
    </row>
    <row r="8" spans="1:4" x14ac:dyDescent="0.35">
      <c r="A8" s="6">
        <v>7</v>
      </c>
      <c r="B8" s="6">
        <v>1</v>
      </c>
      <c r="C8" s="7" t="str">
        <f>"202"</f>
        <v>202</v>
      </c>
      <c r="D8" s="7" t="s">
        <v>14</v>
      </c>
    </row>
    <row r="9" spans="1:4" x14ac:dyDescent="0.35">
      <c r="A9" s="6">
        <v>8</v>
      </c>
      <c r="B9" s="6">
        <v>2</v>
      </c>
      <c r="C9" s="7" t="str">
        <f>"419"</f>
        <v>419</v>
      </c>
      <c r="D9" s="7" t="s">
        <v>15</v>
      </c>
    </row>
    <row r="10" spans="1:4" x14ac:dyDescent="0.35">
      <c r="A10" s="6">
        <v>9</v>
      </c>
      <c r="B10" s="6">
        <v>2</v>
      </c>
      <c r="C10" s="7" t="str">
        <f>"021"</f>
        <v>021</v>
      </c>
      <c r="D10" s="7" t="s">
        <v>16</v>
      </c>
    </row>
    <row r="11" spans="1:4" x14ac:dyDescent="0.35">
      <c r="A11" s="6">
        <v>10</v>
      </c>
      <c r="B11" s="6">
        <v>3</v>
      </c>
      <c r="C11" s="7" t="str">
        <f>"143"</f>
        <v>143</v>
      </c>
      <c r="D11" s="7" t="s">
        <v>17</v>
      </c>
    </row>
    <row r="12" spans="1:4" x14ac:dyDescent="0.35">
      <c r="A12" s="6">
        <v>11</v>
      </c>
      <c r="B12" s="6">
        <v>3</v>
      </c>
      <c r="C12" s="7" t="str">
        <f>"030"</f>
        <v>030</v>
      </c>
      <c r="D12" s="7" t="s">
        <v>18</v>
      </c>
    </row>
    <row r="13" spans="1:4" x14ac:dyDescent="0.35">
      <c r="A13" s="6">
        <v>12</v>
      </c>
      <c r="B13" s="6">
        <v>3</v>
      </c>
      <c r="C13" s="7" t="str">
        <f>"035"</f>
        <v>035</v>
      </c>
      <c r="D13" s="7" t="s">
        <v>19</v>
      </c>
    </row>
    <row r="14" spans="1:4" x14ac:dyDescent="0.35">
      <c r="A14" s="6">
        <v>13</v>
      </c>
      <c r="B14" s="6">
        <v>3</v>
      </c>
      <c r="C14" s="7" t="str">
        <f>"034"</f>
        <v>034</v>
      </c>
      <c r="D14" s="7" t="s">
        <v>20</v>
      </c>
    </row>
    <row r="15" spans="1:4" x14ac:dyDescent="0.35">
      <c r="A15" s="6">
        <v>14</v>
      </c>
      <c r="B15" s="6">
        <v>3</v>
      </c>
      <c r="C15" s="7" t="str">
        <f>"145"</f>
        <v>145</v>
      </c>
      <c r="D15" s="7" t="s">
        <v>21</v>
      </c>
    </row>
    <row r="16" spans="1:4" x14ac:dyDescent="0.35">
      <c r="A16" s="6">
        <v>15</v>
      </c>
      <c r="B16" s="6">
        <v>4</v>
      </c>
      <c r="C16" s="7" t="str">
        <f>"151"</f>
        <v>151</v>
      </c>
      <c r="D16" s="7" t="s">
        <v>22</v>
      </c>
    </row>
    <row r="17" spans="1:4" x14ac:dyDescent="0.35">
      <c r="A17" s="6">
        <v>16</v>
      </c>
      <c r="B17" s="6">
        <v>4</v>
      </c>
      <c r="C17" s="7" t="str">
        <f>"154"</f>
        <v>154</v>
      </c>
      <c r="D17" s="7" t="s">
        <v>23</v>
      </c>
    </row>
    <row r="18" spans="1:4" x14ac:dyDescent="0.35">
      <c r="A18" s="6">
        <v>17</v>
      </c>
      <c r="B18" s="6">
        <v>4</v>
      </c>
      <c r="C18" s="7" t="str">
        <f>"039"</f>
        <v>039</v>
      </c>
      <c r="D18" s="7" t="s">
        <v>24</v>
      </c>
    </row>
    <row r="19" spans="1:4" x14ac:dyDescent="0.35">
      <c r="A19" s="6">
        <v>18</v>
      </c>
      <c r="B19" s="6">
        <v>4</v>
      </c>
      <c r="C19" s="7" t="str">
        <f>"155"</f>
        <v>155</v>
      </c>
      <c r="D19" s="7" t="s">
        <v>25</v>
      </c>
    </row>
    <row r="20" spans="1:4" x14ac:dyDescent="0.35">
      <c r="A20" s="6">
        <v>19</v>
      </c>
      <c r="B20" s="6">
        <v>5</v>
      </c>
      <c r="C20" s="7" t="str">
        <f>"053"</f>
        <v>053</v>
      </c>
      <c r="D20" s="7" t="s">
        <v>26</v>
      </c>
    </row>
    <row r="21" spans="1:4" x14ac:dyDescent="0.35">
      <c r="A21" s="6">
        <v>20</v>
      </c>
      <c r="B21" s="6">
        <v>5</v>
      </c>
      <c r="C21" s="7" t="str">
        <f>"054"</f>
        <v>054</v>
      </c>
      <c r="D21" s="7" t="s">
        <v>27</v>
      </c>
    </row>
    <row r="22" spans="1:4" x14ac:dyDescent="0.35">
      <c r="A22" s="6">
        <v>21</v>
      </c>
      <c r="B22" s="6">
        <v>5</v>
      </c>
      <c r="C22" s="7" t="str">
        <f>"057"</f>
        <v>057</v>
      </c>
      <c r="D22" s="7" t="s">
        <v>28</v>
      </c>
    </row>
    <row r="23" spans="1:4" x14ac:dyDescent="0.35">
      <c r="A23" s="6">
        <v>22</v>
      </c>
      <c r="B23" s="6">
        <v>5</v>
      </c>
      <c r="C23" s="7" t="str">
        <f>"061"</f>
        <v>061</v>
      </c>
      <c r="D23" s="7" t="s">
        <v>29</v>
      </c>
    </row>
    <row r="24" spans="1:4" x14ac:dyDescent="0.35">
      <c r="A24" s="6">
        <v>23</v>
      </c>
      <c r="B24" s="6">
        <v>7</v>
      </c>
      <c r="C24" s="7" t="str">
        <f>"014"</f>
        <v>014</v>
      </c>
      <c r="D24" s="7" t="s">
        <v>30</v>
      </c>
    </row>
    <row r="25" spans="1:4" x14ac:dyDescent="0.35">
      <c r="A25" s="6">
        <v>24</v>
      </c>
      <c r="B25" s="6">
        <v>7</v>
      </c>
      <c r="C25" s="7" t="str">
        <f>"017"</f>
        <v>017</v>
      </c>
      <c r="D25" s="7" t="s">
        <v>31</v>
      </c>
    </row>
    <row r="26" spans="1:4" x14ac:dyDescent="0.35">
      <c r="A26" s="6">
        <v>25</v>
      </c>
      <c r="B26" s="6">
        <v>7</v>
      </c>
      <c r="C26" s="7" t="str">
        <f>"018"</f>
        <v>018</v>
      </c>
      <c r="D26" s="7" t="s">
        <v>32</v>
      </c>
    </row>
    <row r="27" spans="1:4" x14ac:dyDescent="0.35">
      <c r="A27" s="6">
        <v>26</v>
      </c>
      <c r="B27" s="6">
        <v>7</v>
      </c>
      <c r="C27" s="7" t="str">
        <f>"011"</f>
        <v>011</v>
      </c>
      <c r="D27" s="7" t="s">
        <v>33</v>
      </c>
    </row>
    <row r="28" spans="1:4" x14ac:dyDescent="0.35">
      <c r="A28" s="6">
        <v>27</v>
      </c>
      <c r="B28" s="6">
        <v>8</v>
      </c>
      <c r="C28" s="7" t="str">
        <f>"029"</f>
        <v>029</v>
      </c>
      <c r="D28" s="7" t="s">
        <v>34</v>
      </c>
    </row>
    <row r="29" spans="1:4" x14ac:dyDescent="0.35">
      <c r="A29" s="6">
        <v>28</v>
      </c>
      <c r="B29" s="6">
        <v>8</v>
      </c>
      <c r="C29" s="7" t="str">
        <f>"013"</f>
        <v>013</v>
      </c>
      <c r="D29" s="7" t="s">
        <v>35</v>
      </c>
    </row>
    <row r="30" spans="1:4" x14ac:dyDescent="0.35">
      <c r="A30" s="6">
        <v>29</v>
      </c>
      <c r="B30" s="6">
        <v>8</v>
      </c>
      <c r="C30" s="7" t="str">
        <f>"005"</f>
        <v>005</v>
      </c>
      <c r="D30" s="7" t="s">
        <v>36</v>
      </c>
    </row>
  </sheetData>
  <conditionalFormatting sqref="C1:C1048576">
    <cfRule type="duplicateValues" dxfId="4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730700-1192-4653-939D-183A6469A2C8}">
  <dimension ref="A1:J34"/>
  <sheetViews>
    <sheetView workbookViewId="0">
      <selection activeCell="D13" sqref="D13"/>
    </sheetView>
  </sheetViews>
  <sheetFormatPr defaultRowHeight="14.5" x14ac:dyDescent="0.35"/>
  <cols>
    <col min="1" max="1" width="1.453125" bestFit="1" customWidth="1"/>
    <col min="2" max="2" width="6.1796875" bestFit="1" customWidth="1"/>
    <col min="3" max="3" width="5.36328125" bestFit="1" customWidth="1"/>
    <col min="4" max="4" width="12.7265625" bestFit="1" customWidth="1"/>
    <col min="5" max="5" width="5.453125" bestFit="1" customWidth="1"/>
    <col min="6" max="6" width="11.81640625" bestFit="1" customWidth="1"/>
    <col min="7" max="7" width="5.36328125" bestFit="1" customWidth="1"/>
    <col min="8" max="8" width="9.36328125" bestFit="1" customWidth="1"/>
    <col min="9" max="9" width="29.7265625" bestFit="1" customWidth="1"/>
    <col min="10" max="10" width="1.90625" bestFit="1" customWidth="1"/>
  </cols>
  <sheetData>
    <row r="1" spans="1:10" s="1" customFormat="1" ht="15.5" x14ac:dyDescent="0.35">
      <c r="A1" s="4" t="s">
        <v>8</v>
      </c>
      <c r="B1" s="5" t="str">
        <f>data!A1</f>
        <v>id</v>
      </c>
      <c r="C1" s="5"/>
      <c r="D1" s="5" t="str">
        <f>data!B1</f>
        <v>parent_id</v>
      </c>
      <c r="E1" s="5"/>
      <c r="F1" s="5" t="str">
        <f>data!C1</f>
        <v>un_code</v>
      </c>
      <c r="G1" s="5"/>
      <c r="H1" s="5" t="str">
        <f>data!D1</f>
        <v>name</v>
      </c>
      <c r="I1" s="5"/>
      <c r="J1" s="4" t="s">
        <v>11</v>
      </c>
    </row>
    <row r="2" spans="1:10" s="2" customFormat="1" ht="13" x14ac:dyDescent="0.35">
      <c r="A2" s="4"/>
      <c r="B2" s="3" t="s">
        <v>9</v>
      </c>
      <c r="C2" s="3" t="s">
        <v>10</v>
      </c>
      <c r="D2" s="3" t="s">
        <v>9</v>
      </c>
      <c r="E2" s="3" t="s">
        <v>10</v>
      </c>
      <c r="F2" s="3" t="s">
        <v>9</v>
      </c>
      <c r="G2" s="3" t="s">
        <v>10</v>
      </c>
      <c r="H2" s="3" t="s">
        <v>9</v>
      </c>
      <c r="I2" s="3" t="s">
        <v>10</v>
      </c>
      <c r="J2" s="4"/>
    </row>
    <row r="3" spans="1:10" x14ac:dyDescent="0.35">
      <c r="A3" t="str">
        <f>IF(OR(ISBLANK(data!A2),ISERR(data!A2),ISERROR(data!A2),ISNA(data!A2),data!A2="",ISBLANK(data!C2),ISERR(data!C2),ISERROR(data!C2),ISNA(data!C2),data!C2="",ISBLANK(data!D2),ISERR(data!D2),ISERROR(data!D2),ISNA(data!D2),data!D2=""),"","[")</f>
        <v>[</v>
      </c>
      <c r="B3" t="str">
        <f>IF(OR(ISBLANK(A3),ISERR(A3),ISERROR(A3),ISNA(A3),A3=""&amp;ISBLANK(data!A2),ISERR(data!A2),ISERROR(data!A2),ISNA(data!A2),data!A2=""),"","'"&amp;B$1&amp;"' =&gt; ")</f>
        <v xml:space="preserve">'id' =&gt; </v>
      </c>
      <c r="C3" t="str">
        <f>IF(OR(ISBLANK(B3),ISERR(B3),ISERROR(B3),ISNA(B3),B3=""),"",IF(ISTEXT(data!A2),"'"&amp;data!A2&amp;"'",data!A2)&amp;",")</f>
        <v>1,</v>
      </c>
      <c r="D3" t="str">
        <f>IF(OR(ISBLANK(A3),ISERR(A3),ISERROR(A3),ISNA(A3),A3=""),"","'"&amp;D$1&amp;"' =&gt; ")</f>
        <v xml:space="preserve">'parent_id' =&gt; </v>
      </c>
      <c r="E3" t="str">
        <f>IF(OR(ISBLANK(D3),ISERR(D3),ISERROR(D3),ISNA(D3),D3=""),"",IF(OR(ISBLANK(data!B2),ISERR(data!B2),ISERROR(data!B2),ISNA(data!B2),data!B2=""),"NULL",IF(ISTEXT(data!B2),"'"&amp;data!B2&amp;"'",data!B2))&amp;",")</f>
        <v>NULL,</v>
      </c>
      <c r="F3" t="str">
        <f>IF(OR(ISBLANK(A3),ISERR(A3),ISERROR(A3),ISNA(A3),A3=""&amp;ISBLANK(data!C2),ISERR(data!C2),ISERROR(data!C2),ISNA(data!C2),data!C2=""),"","'"&amp;F$1&amp;"' =&gt; ")</f>
        <v xml:space="preserve">'un_code' =&gt; </v>
      </c>
      <c r="G3" t="str">
        <f>IF(OR(ISBLANK(F3),ISERR(F3),ISERROR(F3),ISNA(F3),F3=""),"",IF(ISTEXT(data!C2),"'"&amp;data!C2&amp;"'",data!C2)&amp;",")</f>
        <v>'002',</v>
      </c>
      <c r="H3" t="str">
        <f>IF(OR(ISBLANK(A3),ISERR(A3),ISERROR(A3),ISNA(A3),A3=""&amp;ISBLANK(data!D2),ISERR(data!D2),ISERROR(data!D2),ISNA(data!D2),data!D2=""),"","'"&amp;H$1&amp;"' =&gt; ")</f>
        <v xml:space="preserve">'name' =&gt; </v>
      </c>
      <c r="I3" t="str">
        <f>IF(OR(ISBLANK(H3),ISERR(H3),ISERROR(H3),ISNA(H3),H3=""),"","'"&amp;SUBSTITUTE(data!D2,"'","\'")&amp;"'"&amp;",")</f>
        <v>'Africa',</v>
      </c>
      <c r="J3" t="str">
        <f>IF(OR(ISBLANK(A3),ISERR(A3),ISERROR(A3),ISNA(A3),A3=""),"","],")</f>
        <v>],</v>
      </c>
    </row>
    <row r="4" spans="1:10" x14ac:dyDescent="0.35">
      <c r="A4" t="str">
        <f>IF(OR(ISBLANK(data!A3),ISERR(data!A3),ISERROR(data!A3),ISNA(data!A3),data!A3="",ISBLANK(data!C3),ISERR(data!C3),ISERROR(data!C3),ISNA(data!C3),data!C3="",ISBLANK(data!D3),ISERR(data!D3),ISERROR(data!D3),ISNA(data!D3),data!D3=""),"","[")</f>
        <v>[</v>
      </c>
      <c r="B4" t="str">
        <f>IF(OR(ISBLANK(A4),ISERR(A4),ISERROR(A4),ISNA(A4),A4=""&amp;ISBLANK(data!A3),ISERR(data!A3),ISERROR(data!A3),ISNA(data!A3),data!A3=""),"","'"&amp;B$1&amp;"' =&gt; ")</f>
        <v xml:space="preserve">'id' =&gt; </v>
      </c>
      <c r="C4" t="str">
        <f>IF(OR(ISBLANK(B4),ISERR(B4),ISERROR(B4),ISNA(B4),B4=""),"",IF(ISTEXT(data!A3),"'"&amp;data!A3&amp;"'",data!A3)&amp;",")</f>
        <v>2,</v>
      </c>
      <c r="D4" t="str">
        <f t="shared" ref="D4:D11" si="0">IF(OR(ISBLANK(A4),ISERR(A4),ISERROR(A4),ISNA(A4),A4=""),"","'"&amp;D$1&amp;"' =&gt; ")</f>
        <v xml:space="preserve">'parent_id' =&gt; </v>
      </c>
      <c r="E4" t="str">
        <f>IF(OR(ISBLANK(D4),ISERR(D4),ISERROR(D4),ISNA(D4),D4=""),"",IF(OR(ISBLANK(data!B3),ISERR(data!B3),ISERROR(data!B3),ISNA(data!B3),data!B3=""),"NULL",IF(ISTEXT(data!B3),"'"&amp;data!B3&amp;"'",data!B3))&amp;",")</f>
        <v>NULL,</v>
      </c>
      <c r="F4" t="str">
        <f>IF(OR(ISBLANK(A4),ISERR(A4),ISERROR(A4),ISNA(A4),A4=""&amp;ISBLANK(data!C3),ISERR(data!C3),ISERROR(data!C3),ISNA(data!C3),data!C3=""),"","'"&amp;F$1&amp;"' =&gt; ")</f>
        <v xml:space="preserve">'un_code' =&gt; </v>
      </c>
      <c r="G4" t="str">
        <f>IF(OR(ISBLANK(F4),ISERR(F4),ISERROR(F4),ISNA(F4),F4=""),"",IF(ISTEXT(data!C3),"'"&amp;data!C3&amp;"'",data!C3)&amp;",")</f>
        <v>'019',</v>
      </c>
      <c r="H4" t="str">
        <f>IF(OR(ISBLANK(A4),ISERR(A4),ISERROR(A4),ISNA(A4),A4=""&amp;ISBLANK(data!D3),ISERR(data!D3),ISERROR(data!D3),ISNA(data!D3),data!D3=""),"","'"&amp;H$1&amp;"' =&gt; ")</f>
        <v xml:space="preserve">'name' =&gt; </v>
      </c>
      <c r="I4" t="str">
        <f>IF(OR(ISBLANK(H4),ISERR(H4),ISERROR(H4),ISNA(H4),H4=""),"","'"&amp;SUBSTITUTE(data!D3,"'","\'")&amp;"'"&amp;",")</f>
        <v>'Americas',</v>
      </c>
      <c r="J4" t="str">
        <f t="shared" ref="J4:J11" si="1">IF(OR(ISBLANK(A4),ISERR(A4),ISERROR(A4),ISNA(A4),A4=""),"","],")</f>
        <v>],</v>
      </c>
    </row>
    <row r="5" spans="1:10" x14ac:dyDescent="0.35">
      <c r="A5" t="str">
        <f>IF(OR(ISBLANK(data!A4),ISERR(data!A4),ISERROR(data!A4),ISNA(data!A4),data!A4="",ISBLANK(data!C4),ISERR(data!C4),ISERROR(data!C4),ISNA(data!C4),data!C4="",ISBLANK(data!D4),ISERR(data!D4),ISERROR(data!D4),ISNA(data!D4),data!D4=""),"","[")</f>
        <v>[</v>
      </c>
      <c r="B5" t="str">
        <f>IF(OR(ISBLANK(A5),ISERR(A5),ISERROR(A5),ISNA(A5),A5=""&amp;ISBLANK(data!A4),ISERR(data!A4),ISERROR(data!A4),ISNA(data!A4),data!A4=""),"","'"&amp;B$1&amp;"' =&gt; ")</f>
        <v xml:space="preserve">'id' =&gt; </v>
      </c>
      <c r="C5" t="str">
        <f>IF(OR(ISBLANK(B5),ISERR(B5),ISERROR(B5),ISNA(B5),B5=""),"",IF(ISTEXT(data!A4),"'"&amp;data!A4&amp;"'",data!A4)&amp;",")</f>
        <v>3,</v>
      </c>
      <c r="D5" t="str">
        <f t="shared" si="0"/>
        <v xml:space="preserve">'parent_id' =&gt; </v>
      </c>
      <c r="E5" t="str">
        <f>IF(OR(ISBLANK(D5),ISERR(D5),ISERROR(D5),ISNA(D5),D5=""),"",IF(OR(ISBLANK(data!B4),ISERR(data!B4),ISERROR(data!B4),ISNA(data!B4),data!B4=""),"NULL",IF(ISTEXT(data!B4),"'"&amp;data!B4&amp;"'",data!B4))&amp;",")</f>
        <v>NULL,</v>
      </c>
      <c r="F5" t="str">
        <f>IF(OR(ISBLANK(A5),ISERR(A5),ISERROR(A5),ISNA(A5),A5=""&amp;ISBLANK(data!C4),ISERR(data!C4),ISERROR(data!C4),ISNA(data!C4),data!C4=""),"","'"&amp;F$1&amp;"' =&gt; ")</f>
        <v xml:space="preserve">'un_code' =&gt; </v>
      </c>
      <c r="G5" t="str">
        <f>IF(OR(ISBLANK(F5),ISERR(F5),ISERROR(F5),ISNA(F5),F5=""),"",IF(ISTEXT(data!C4),"'"&amp;data!C4&amp;"'",data!C4)&amp;",")</f>
        <v>'142',</v>
      </c>
      <c r="H5" t="str">
        <f>IF(OR(ISBLANK(A5),ISERR(A5),ISERROR(A5),ISNA(A5),A5=""&amp;ISBLANK(data!D4),ISERR(data!D4),ISERROR(data!D4),ISNA(data!D4),data!D4=""),"","'"&amp;H$1&amp;"' =&gt; ")</f>
        <v xml:space="preserve">'name' =&gt; </v>
      </c>
      <c r="I5" t="str">
        <f>IF(OR(ISBLANK(H5),ISERR(H5),ISERROR(H5),ISNA(H5),H5=""),"","'"&amp;SUBSTITUTE(data!D4,"'","\'")&amp;"'"&amp;",")</f>
        <v>'Asia',</v>
      </c>
      <c r="J5" t="str">
        <f t="shared" si="1"/>
        <v>],</v>
      </c>
    </row>
    <row r="6" spans="1:10" x14ac:dyDescent="0.35">
      <c r="A6" t="str">
        <f>IF(OR(ISBLANK(data!A5),ISERR(data!A5),ISERROR(data!A5),ISNA(data!A5),data!A5="",ISBLANK(data!C5),ISERR(data!C5),ISERROR(data!C5),ISNA(data!C5),data!C5="",ISBLANK(data!D5),ISERR(data!D5),ISERROR(data!D5),ISNA(data!D5),data!D5=""),"","[")</f>
        <v>[</v>
      </c>
      <c r="B6" t="str">
        <f>IF(OR(ISBLANK(A6),ISERR(A6),ISERROR(A6),ISNA(A6),A6=""&amp;ISBLANK(data!A5),ISERR(data!A5),ISERROR(data!A5),ISNA(data!A5),data!A5=""),"","'"&amp;B$1&amp;"' =&gt; ")</f>
        <v xml:space="preserve">'id' =&gt; </v>
      </c>
      <c r="C6" t="str">
        <f>IF(OR(ISBLANK(B6),ISERR(B6),ISERROR(B6),ISNA(B6),B6=""),"",IF(ISTEXT(data!A5),"'"&amp;data!A5&amp;"'",data!A5)&amp;",")</f>
        <v>4,</v>
      </c>
      <c r="D6" t="str">
        <f t="shared" si="0"/>
        <v xml:space="preserve">'parent_id' =&gt; </v>
      </c>
      <c r="E6" t="str">
        <f>IF(OR(ISBLANK(D6),ISERR(D6),ISERROR(D6),ISNA(D6),D6=""),"",IF(OR(ISBLANK(data!B5),ISERR(data!B5),ISERROR(data!B5),ISNA(data!B5),data!B5=""),"NULL",IF(ISTEXT(data!B5),"'"&amp;data!B5&amp;"'",data!B5))&amp;",")</f>
        <v>NULL,</v>
      </c>
      <c r="F6" t="str">
        <f>IF(OR(ISBLANK(A6),ISERR(A6),ISERROR(A6),ISNA(A6),A6=""&amp;ISBLANK(data!C5),ISERR(data!C5),ISERROR(data!C5),ISNA(data!C5),data!C5=""),"","'"&amp;F$1&amp;"' =&gt; ")</f>
        <v xml:space="preserve">'un_code' =&gt; </v>
      </c>
      <c r="G6" t="str">
        <f>IF(OR(ISBLANK(F6),ISERR(F6),ISERROR(F6),ISNA(F6),F6=""),"",IF(ISTEXT(data!C5),"'"&amp;data!C5&amp;"'",data!C5)&amp;",")</f>
        <v>'150',</v>
      </c>
      <c r="H6" t="str">
        <f>IF(OR(ISBLANK(A6),ISERR(A6),ISERROR(A6),ISNA(A6),A6=""&amp;ISBLANK(data!D5),ISERR(data!D5),ISERROR(data!D5),ISNA(data!D5),data!D5=""),"","'"&amp;H$1&amp;"' =&gt; ")</f>
        <v xml:space="preserve">'name' =&gt; </v>
      </c>
      <c r="I6" t="str">
        <f>IF(OR(ISBLANK(H6),ISERR(H6),ISERROR(H6),ISNA(H6),H6=""),"","'"&amp;SUBSTITUTE(data!D5,"'","\'")&amp;"'"&amp;",")</f>
        <v>'Europe',</v>
      </c>
      <c r="J6" t="str">
        <f t="shared" si="1"/>
        <v>],</v>
      </c>
    </row>
    <row r="7" spans="1:10" x14ac:dyDescent="0.35">
      <c r="A7" t="str">
        <f>IF(OR(ISBLANK(data!A6),ISERR(data!A6),ISERROR(data!A6),ISNA(data!A6),data!A6="",ISBLANK(data!C6),ISERR(data!C6),ISERROR(data!C6),ISNA(data!C6),data!C6="",ISBLANK(data!D6),ISERR(data!D6),ISERROR(data!D6),ISNA(data!D6),data!D6=""),"","[")</f>
        <v>[</v>
      </c>
      <c r="B7" t="str">
        <f>IF(OR(ISBLANK(A7),ISERR(A7),ISERROR(A7),ISNA(A7),A7=""&amp;ISBLANK(data!A6),ISERR(data!A6),ISERROR(data!A6),ISNA(data!A6),data!A6=""),"","'"&amp;B$1&amp;"' =&gt; ")</f>
        <v xml:space="preserve">'id' =&gt; </v>
      </c>
      <c r="C7" t="str">
        <f>IF(OR(ISBLANK(B7),ISERR(B7),ISERROR(B7),ISNA(B7),B7=""),"",IF(ISTEXT(data!A6),"'"&amp;data!A6&amp;"'",data!A6)&amp;",")</f>
        <v>5,</v>
      </c>
      <c r="D7" t="str">
        <f t="shared" si="0"/>
        <v xml:space="preserve">'parent_id' =&gt; </v>
      </c>
      <c r="E7" t="str">
        <f>IF(OR(ISBLANK(D7),ISERR(D7),ISERROR(D7),ISNA(D7),D7=""),"",IF(OR(ISBLANK(data!B6),ISERR(data!B6),ISERROR(data!B6),ISNA(data!B6),data!B6=""),"NULL",IF(ISTEXT(data!B6),"'"&amp;data!B6&amp;"'",data!B6))&amp;",")</f>
        <v>NULL,</v>
      </c>
      <c r="F7" t="str">
        <f>IF(OR(ISBLANK(A7),ISERR(A7),ISERROR(A7),ISNA(A7),A7=""&amp;ISBLANK(data!C6),ISERR(data!C6),ISERROR(data!C6),ISNA(data!C6),data!C6=""),"","'"&amp;F$1&amp;"' =&gt; ")</f>
        <v xml:space="preserve">'un_code' =&gt; </v>
      </c>
      <c r="G7" t="str">
        <f>IF(OR(ISBLANK(F7),ISERR(F7),ISERROR(F7),ISNA(F7),F7=""),"",IF(ISTEXT(data!C6),"'"&amp;data!C6&amp;"'",data!C6)&amp;",")</f>
        <v>'009',</v>
      </c>
      <c r="H7" t="str">
        <f>IF(OR(ISBLANK(A7),ISERR(A7),ISERROR(A7),ISNA(A7),A7=""&amp;ISBLANK(data!D6),ISERR(data!D6),ISERROR(data!D6),ISNA(data!D6),data!D6=""),"","'"&amp;H$1&amp;"' =&gt; ")</f>
        <v xml:space="preserve">'name' =&gt; </v>
      </c>
      <c r="I7" t="str">
        <f>IF(OR(ISBLANK(H7),ISERR(H7),ISERROR(H7),ISNA(H7),H7=""),"","'"&amp;SUBSTITUTE(data!D6,"'","\'")&amp;"'"&amp;",")</f>
        <v>'Oceania',</v>
      </c>
      <c r="J7" t="str">
        <f t="shared" si="1"/>
        <v>],</v>
      </c>
    </row>
    <row r="8" spans="1:10" x14ac:dyDescent="0.35">
      <c r="A8" t="str">
        <f>IF(OR(ISBLANK(data!A7),ISERR(data!A7),ISERROR(data!A7),ISNA(data!A7),data!A7="",ISBLANK(data!C7),ISERR(data!C7),ISERROR(data!C7),ISNA(data!C7),data!C7="",ISBLANK(data!D7),ISERR(data!D7),ISERROR(data!D7),ISNA(data!D7),data!D7=""),"","[")</f>
        <v>[</v>
      </c>
      <c r="B8" t="str">
        <f>IF(OR(ISBLANK(A8),ISERR(A8),ISERROR(A8),ISNA(A8),A8=""&amp;ISBLANK(data!A7),ISERR(data!A7),ISERROR(data!A7),ISNA(data!A7),data!A7=""),"","'"&amp;B$1&amp;"' =&gt; ")</f>
        <v xml:space="preserve">'id' =&gt; </v>
      </c>
      <c r="C8" t="str">
        <f>IF(OR(ISBLANK(B8),ISERR(B8),ISERROR(B8),ISNA(B8),B8=""),"",IF(ISTEXT(data!A7),"'"&amp;data!A7&amp;"'",data!A7)&amp;",")</f>
        <v>6,</v>
      </c>
      <c r="D8" t="str">
        <f t="shared" si="0"/>
        <v xml:space="preserve">'parent_id' =&gt; </v>
      </c>
      <c r="E8" t="str">
        <f>IF(OR(ISBLANK(D8),ISERR(D8),ISERROR(D8),ISNA(D8),D8=""),"",IF(OR(ISBLANK(data!B7),ISERR(data!B7),ISERROR(data!B7),ISNA(data!B7),data!B7=""),"NULL",IF(ISTEXT(data!B7),"'"&amp;data!B7&amp;"'",data!B7))&amp;",")</f>
        <v>1,</v>
      </c>
      <c r="F8" t="str">
        <f>IF(OR(ISBLANK(A8),ISERR(A8),ISERROR(A8),ISNA(A8),A8=""&amp;ISBLANK(data!C7),ISERR(data!C7),ISERROR(data!C7),ISNA(data!C7),data!C7=""),"","'"&amp;F$1&amp;"' =&gt; ")</f>
        <v xml:space="preserve">'un_code' =&gt; </v>
      </c>
      <c r="G8" t="str">
        <f>IF(OR(ISBLANK(F8),ISERR(F8),ISERROR(F8),ISNA(F8),F8=""),"",IF(ISTEXT(data!C7),"'"&amp;data!C7&amp;"'",data!C7)&amp;",")</f>
        <v>'015',</v>
      </c>
      <c r="H8" t="str">
        <f>IF(OR(ISBLANK(A8),ISERR(A8),ISERROR(A8),ISNA(A8),A8=""&amp;ISBLANK(data!D7),ISERR(data!D7),ISERROR(data!D7),ISNA(data!D7),data!D7=""),"","'"&amp;H$1&amp;"' =&gt; ")</f>
        <v xml:space="preserve">'name' =&gt; </v>
      </c>
      <c r="I8" t="str">
        <f>IF(OR(ISBLANK(H8),ISERR(H8),ISERROR(H8),ISNA(H8),H8=""),"","'"&amp;SUBSTITUTE(data!D7,"'","\'")&amp;"'"&amp;",")</f>
        <v>'Northern Africa',</v>
      </c>
      <c r="J8" t="str">
        <f t="shared" si="1"/>
        <v>],</v>
      </c>
    </row>
    <row r="9" spans="1:10" x14ac:dyDescent="0.35">
      <c r="A9" t="str">
        <f>IF(OR(ISBLANK(data!A8),ISERR(data!A8),ISERROR(data!A8),ISNA(data!A8),data!A8="",ISBLANK(data!C8),ISERR(data!C8),ISERROR(data!C8),ISNA(data!C8),data!C8="",ISBLANK(data!D8),ISERR(data!D8),ISERROR(data!D8),ISNA(data!D8),data!D8=""),"","[")</f>
        <v>[</v>
      </c>
      <c r="B9" t="str">
        <f>IF(OR(ISBLANK(A9),ISERR(A9),ISERROR(A9),ISNA(A9),A9=""&amp;ISBLANK(data!A8),ISERR(data!A8),ISERROR(data!A8),ISNA(data!A8),data!A8=""),"","'"&amp;B$1&amp;"' =&gt; ")</f>
        <v xml:space="preserve">'id' =&gt; </v>
      </c>
      <c r="C9" t="str">
        <f>IF(OR(ISBLANK(B9),ISERR(B9),ISERROR(B9),ISNA(B9),B9=""),"",IF(ISTEXT(data!A8),"'"&amp;data!A8&amp;"'",data!A8)&amp;",")</f>
        <v>7,</v>
      </c>
      <c r="D9" t="str">
        <f t="shared" si="0"/>
        <v xml:space="preserve">'parent_id' =&gt; </v>
      </c>
      <c r="E9" t="str">
        <f>IF(OR(ISBLANK(D9),ISERR(D9),ISERROR(D9),ISNA(D9),D9=""),"",IF(OR(ISBLANK(data!B8),ISERR(data!B8),ISERROR(data!B8),ISNA(data!B8),data!B8=""),"NULL",IF(ISTEXT(data!B8),"'"&amp;data!B8&amp;"'",data!B8))&amp;",")</f>
        <v>1,</v>
      </c>
      <c r="F9" t="str">
        <f>IF(OR(ISBLANK(A9),ISERR(A9),ISERROR(A9),ISNA(A9),A9=""&amp;ISBLANK(data!C8),ISERR(data!C8),ISERROR(data!C8),ISNA(data!C8),data!C8=""),"","'"&amp;F$1&amp;"' =&gt; ")</f>
        <v xml:space="preserve">'un_code' =&gt; </v>
      </c>
      <c r="G9" t="str">
        <f>IF(OR(ISBLANK(F9),ISERR(F9),ISERROR(F9),ISNA(F9),F9=""),"",IF(ISTEXT(data!C8),"'"&amp;data!C8&amp;"'",data!C8)&amp;",")</f>
        <v>'202',</v>
      </c>
      <c r="H9" t="str">
        <f>IF(OR(ISBLANK(A9),ISERR(A9),ISERROR(A9),ISNA(A9),A9=""&amp;ISBLANK(data!D8),ISERR(data!D8),ISERROR(data!D8),ISNA(data!D8),data!D8=""),"","'"&amp;H$1&amp;"' =&gt; ")</f>
        <v xml:space="preserve">'name' =&gt; </v>
      </c>
      <c r="I9" t="str">
        <f>IF(OR(ISBLANK(H9),ISERR(H9),ISERROR(H9),ISNA(H9),H9=""),"","'"&amp;SUBSTITUTE(data!D8,"'","\'")&amp;"'"&amp;",")</f>
        <v>'Sub-Saharan Africa',</v>
      </c>
      <c r="J9" t="str">
        <f t="shared" si="1"/>
        <v>],</v>
      </c>
    </row>
    <row r="10" spans="1:10" x14ac:dyDescent="0.35">
      <c r="A10" t="str">
        <f>IF(OR(ISBLANK(data!A9),ISERR(data!A9),ISERROR(data!A9),ISNA(data!A9),data!A9="",ISBLANK(data!C9),ISERR(data!C9),ISERROR(data!C9),ISNA(data!C9),data!C9="",ISBLANK(data!D9),ISERR(data!D9),ISERROR(data!D9),ISNA(data!D9),data!D9=""),"","[")</f>
        <v>[</v>
      </c>
      <c r="B10" t="str">
        <f>IF(OR(ISBLANK(A10),ISERR(A10),ISERROR(A10),ISNA(A10),A10=""&amp;ISBLANK(data!A9),ISERR(data!A9),ISERROR(data!A9),ISNA(data!A9),data!A9=""),"","'"&amp;B$1&amp;"' =&gt; ")</f>
        <v xml:space="preserve">'id' =&gt; </v>
      </c>
      <c r="C10" t="str">
        <f>IF(OR(ISBLANK(B10),ISERR(B10),ISERROR(B10),ISNA(B10),B10=""),"",IF(ISTEXT(data!A9),"'"&amp;data!A9&amp;"'",data!A9)&amp;",")</f>
        <v>8,</v>
      </c>
      <c r="D10" t="str">
        <f t="shared" si="0"/>
        <v xml:space="preserve">'parent_id' =&gt; </v>
      </c>
      <c r="E10" t="str">
        <f>IF(OR(ISBLANK(D10),ISERR(D10),ISERROR(D10),ISNA(D10),D10=""),"",IF(OR(ISBLANK(data!B9),ISERR(data!B9),ISERROR(data!B9),ISNA(data!B9),data!B9=""),"NULL",IF(ISTEXT(data!B9),"'"&amp;data!B9&amp;"'",data!B9))&amp;",")</f>
        <v>2,</v>
      </c>
      <c r="F10" t="str">
        <f>IF(OR(ISBLANK(A10),ISERR(A10),ISERROR(A10),ISNA(A10),A10=""&amp;ISBLANK(data!C9),ISERR(data!C9),ISERROR(data!C9),ISNA(data!C9),data!C9=""),"","'"&amp;F$1&amp;"' =&gt; ")</f>
        <v xml:space="preserve">'un_code' =&gt; </v>
      </c>
      <c r="G10" t="str">
        <f>IF(OR(ISBLANK(F10),ISERR(F10),ISERROR(F10),ISNA(F10),F10=""),"",IF(ISTEXT(data!C9),"'"&amp;data!C9&amp;"'",data!C9)&amp;",")</f>
        <v>'419',</v>
      </c>
      <c r="H10" t="str">
        <f>IF(OR(ISBLANK(A10),ISERR(A10),ISERROR(A10),ISNA(A10),A10=""&amp;ISBLANK(data!D9),ISERR(data!D9),ISERROR(data!D9),ISNA(data!D9),data!D9=""),"","'"&amp;H$1&amp;"' =&gt; ")</f>
        <v xml:space="preserve">'name' =&gt; </v>
      </c>
      <c r="I10" t="str">
        <f>IF(OR(ISBLANK(H10),ISERR(H10),ISERROR(H10),ISNA(H10),H10=""),"","'"&amp;SUBSTITUTE(data!D9,"'","\'")&amp;"'"&amp;",")</f>
        <v>'Latin America and the Caribbean',</v>
      </c>
      <c r="J10" t="str">
        <f t="shared" si="1"/>
        <v>],</v>
      </c>
    </row>
    <row r="11" spans="1:10" x14ac:dyDescent="0.35">
      <c r="A11" t="str">
        <f>IF(OR(ISBLANK(data!A10),ISERR(data!A10),ISERROR(data!A10),ISNA(data!A10),data!A10="",ISBLANK(data!C10),ISERR(data!C10),ISERROR(data!C10),ISNA(data!C10),data!C10="",ISBLANK(data!D10),ISERR(data!D10),ISERROR(data!D10),ISNA(data!D10),data!D10=""),"","[")</f>
        <v>[</v>
      </c>
      <c r="B11" t="str">
        <f>IF(OR(ISBLANK(A11),ISERR(A11),ISERROR(A11),ISNA(A11),A11=""&amp;ISBLANK(data!A10),ISERR(data!A10),ISERROR(data!A10),ISNA(data!A10),data!A10=""),"","'"&amp;B$1&amp;"' =&gt; ")</f>
        <v xml:space="preserve">'id' =&gt; </v>
      </c>
      <c r="C11" t="str">
        <f>IF(OR(ISBLANK(B11),ISERR(B11),ISERROR(B11),ISNA(B11),B11=""),"",IF(ISTEXT(data!A10),"'"&amp;data!A10&amp;"'",data!A10)&amp;",")</f>
        <v>9,</v>
      </c>
      <c r="D11" t="str">
        <f t="shared" si="0"/>
        <v xml:space="preserve">'parent_id' =&gt; </v>
      </c>
      <c r="E11" t="str">
        <f>IF(OR(ISBLANK(D11),ISERR(D11),ISERROR(D11),ISNA(D11),D11=""),"",IF(OR(ISBLANK(data!B10),ISERR(data!B10),ISERROR(data!B10),ISNA(data!B10),data!B10=""),"NULL",IF(ISTEXT(data!B10),"'"&amp;data!B10&amp;"'",data!B10))&amp;",")</f>
        <v>2,</v>
      </c>
      <c r="F11" t="str">
        <f>IF(OR(ISBLANK(A11),ISERR(A11),ISERROR(A11),ISNA(A11),A11=""&amp;ISBLANK(data!C10),ISERR(data!C10),ISERROR(data!C10),ISNA(data!C10),data!C10=""),"","'"&amp;F$1&amp;"' =&gt; ")</f>
        <v xml:space="preserve">'un_code' =&gt; </v>
      </c>
      <c r="G11" t="str">
        <f>IF(OR(ISBLANK(F11),ISERR(F11),ISERROR(F11),ISNA(F11),F11=""),"",IF(ISTEXT(data!C10),"'"&amp;data!C10&amp;"'",data!C10)&amp;",")</f>
        <v>'021',</v>
      </c>
      <c r="H11" t="str">
        <f>IF(OR(ISBLANK(A11),ISERR(A11),ISERROR(A11),ISNA(A11),A11=""&amp;ISBLANK(data!D10),ISERR(data!D10),ISERROR(data!D10),ISNA(data!D10),data!D10=""),"","'"&amp;H$1&amp;"' =&gt; ")</f>
        <v xml:space="preserve">'name' =&gt; </v>
      </c>
      <c r="I11" t="str">
        <f>IF(OR(ISBLANK(H11),ISERR(H11),ISERROR(H11),ISNA(H11),H11=""),"","'"&amp;SUBSTITUTE(data!D10,"'","\'")&amp;"'"&amp;",")</f>
        <v>'Northern America',</v>
      </c>
      <c r="J11" t="str">
        <f t="shared" si="1"/>
        <v>],</v>
      </c>
    </row>
    <row r="12" spans="1:10" x14ac:dyDescent="0.35">
      <c r="A12" t="str">
        <f>IF(OR(ISBLANK(data!A11),ISERR(data!A11),ISERROR(data!A11),ISNA(data!A11),data!A11="",ISBLANK(data!C11),ISERR(data!C11),ISERROR(data!C11),ISNA(data!C11),data!C11="",ISBLANK(data!D11),ISERR(data!D11),ISERROR(data!D11),ISNA(data!D11),data!D11=""),"","[")</f>
        <v>[</v>
      </c>
      <c r="B12" t="str">
        <f>IF(OR(ISBLANK(A12),ISERR(A12),ISERROR(A12),ISNA(A12),A12=""&amp;ISBLANK(data!A11),ISERR(data!A11),ISERROR(data!A11),ISNA(data!A11),data!A11=""),"","'"&amp;B$1&amp;"' =&gt; ")</f>
        <v xml:space="preserve">'id' =&gt; </v>
      </c>
      <c r="C12" t="str">
        <f>IF(OR(ISBLANK(B12),ISERR(B12),ISERROR(B12),ISNA(B12),B12=""),"",IF(ISTEXT(data!A11),"'"&amp;data!A11&amp;"'",data!A11)&amp;",")</f>
        <v>10,</v>
      </c>
      <c r="D12" t="str">
        <f t="shared" ref="D12:D23" si="2">IF(OR(ISBLANK(A12),ISERR(A12),ISERROR(A12),ISNA(A12),A12=""),"","'"&amp;D$1&amp;"' =&gt; ")</f>
        <v xml:space="preserve">'parent_id' =&gt; </v>
      </c>
      <c r="E12" t="str">
        <f>IF(OR(ISBLANK(D12),ISERR(D12),ISERROR(D12),ISNA(D12),D12=""),"",IF(OR(ISBLANK(data!B11),ISERR(data!B11),ISERROR(data!B11),ISNA(data!B11),data!B11=""),"NULL",IF(ISTEXT(data!B11),"'"&amp;data!B11&amp;"'",data!B11))&amp;",")</f>
        <v>3,</v>
      </c>
      <c r="F12" t="str">
        <f>IF(OR(ISBLANK(A12),ISERR(A12),ISERROR(A12),ISNA(A12),A12=""&amp;ISBLANK(data!C11),ISERR(data!C11),ISERROR(data!C11),ISNA(data!C11),data!C11=""),"","'"&amp;F$1&amp;"' =&gt; ")</f>
        <v xml:space="preserve">'un_code' =&gt; </v>
      </c>
      <c r="G12" t="str">
        <f>IF(OR(ISBLANK(F12),ISERR(F12),ISERROR(F12),ISNA(F12),F12=""),"",IF(ISTEXT(data!C11),"'"&amp;data!C11&amp;"'",data!C11)&amp;",")</f>
        <v>'143',</v>
      </c>
      <c r="H12" t="str">
        <f>IF(OR(ISBLANK(A12),ISERR(A12),ISERROR(A12),ISNA(A12),A12=""&amp;ISBLANK(data!D11),ISERR(data!D11),ISERROR(data!D11),ISNA(data!D11),data!D11=""),"","'"&amp;H$1&amp;"' =&gt; ")</f>
        <v xml:space="preserve">'name' =&gt; </v>
      </c>
      <c r="I12" t="str">
        <f>IF(OR(ISBLANK(H12),ISERR(H12),ISERROR(H12),ISNA(H12),H12=""),"","'"&amp;SUBSTITUTE(data!D11,"'","\'")&amp;"'"&amp;",")</f>
        <v>'Central Asia',</v>
      </c>
      <c r="J12" t="str">
        <f t="shared" ref="J12:J23" si="3">IF(OR(ISBLANK(A12),ISERR(A12),ISERROR(A12),ISNA(A12),A12=""),"","],")</f>
        <v>],</v>
      </c>
    </row>
    <row r="13" spans="1:10" x14ac:dyDescent="0.35">
      <c r="A13" t="str">
        <f>IF(OR(ISBLANK(data!A12),ISERR(data!A12),ISERROR(data!A12),ISNA(data!A12),data!A12="",ISBLANK(data!C12),ISERR(data!C12),ISERROR(data!C12),ISNA(data!C12),data!C12="",ISBLANK(data!D12),ISERR(data!D12),ISERROR(data!D12),ISNA(data!D12),data!D12=""),"","[")</f>
        <v>[</v>
      </c>
      <c r="B13" t="str">
        <f>IF(OR(ISBLANK(A13),ISERR(A13),ISERROR(A13),ISNA(A13),A13=""&amp;ISBLANK(data!A12),ISERR(data!A12),ISERROR(data!A12),ISNA(data!A12),data!A12=""),"","'"&amp;B$1&amp;"' =&gt; ")</f>
        <v xml:space="preserve">'id' =&gt; </v>
      </c>
      <c r="C13" t="str">
        <f>IF(OR(ISBLANK(B13),ISERR(B13),ISERROR(B13),ISNA(B13),B13=""),"",IF(ISTEXT(data!A12),"'"&amp;data!A12&amp;"'",data!A12)&amp;",")</f>
        <v>11,</v>
      </c>
      <c r="D13" t="str">
        <f t="shared" si="2"/>
        <v xml:space="preserve">'parent_id' =&gt; </v>
      </c>
      <c r="E13" t="str">
        <f>IF(OR(ISBLANK(D13),ISERR(D13),ISERROR(D13),ISNA(D13),D13=""),"",IF(OR(ISBLANK(data!B12),ISERR(data!B12),ISERROR(data!B12),ISNA(data!B12),data!B12=""),"NULL",IF(ISTEXT(data!B12),"'"&amp;data!B12&amp;"'",data!B12))&amp;",")</f>
        <v>3,</v>
      </c>
      <c r="F13" t="str">
        <f>IF(OR(ISBLANK(A13),ISERR(A13),ISERROR(A13),ISNA(A13),A13=""&amp;ISBLANK(data!C12),ISERR(data!C12),ISERROR(data!C12),ISNA(data!C12),data!C12=""),"","'"&amp;F$1&amp;"' =&gt; ")</f>
        <v xml:space="preserve">'un_code' =&gt; </v>
      </c>
      <c r="G13" t="str">
        <f>IF(OR(ISBLANK(F13),ISERR(F13),ISERROR(F13),ISNA(F13),F13=""),"",IF(ISTEXT(data!C12),"'"&amp;data!C12&amp;"'",data!C12)&amp;",")</f>
        <v>'030',</v>
      </c>
      <c r="H13" t="str">
        <f>IF(OR(ISBLANK(A13),ISERR(A13),ISERROR(A13),ISNA(A13),A13=""&amp;ISBLANK(data!D12),ISERR(data!D12),ISERROR(data!D12),ISNA(data!D12),data!D12=""),"","'"&amp;H$1&amp;"' =&gt; ")</f>
        <v xml:space="preserve">'name' =&gt; </v>
      </c>
      <c r="I13" t="str">
        <f>IF(OR(ISBLANK(H13),ISERR(H13),ISERROR(H13),ISNA(H13),H13=""),"","'"&amp;SUBSTITUTE(data!D12,"'","\'")&amp;"'"&amp;",")</f>
        <v>'Eastern Asia',</v>
      </c>
      <c r="J13" t="str">
        <f t="shared" si="3"/>
        <v>],</v>
      </c>
    </row>
    <row r="14" spans="1:10" x14ac:dyDescent="0.35">
      <c r="A14" t="str">
        <f>IF(OR(ISBLANK(data!A13),ISERR(data!A13),ISERROR(data!A13),ISNA(data!A13),data!A13="",ISBLANK(data!C13),ISERR(data!C13),ISERROR(data!C13),ISNA(data!C13),data!C13="",ISBLANK(data!D13),ISERR(data!D13),ISERROR(data!D13),ISNA(data!D13),data!D13=""),"","[")</f>
        <v>[</v>
      </c>
      <c r="B14" t="str">
        <f>IF(OR(ISBLANK(A14),ISERR(A14),ISERROR(A14),ISNA(A14),A14=""&amp;ISBLANK(data!A13),ISERR(data!A13),ISERROR(data!A13),ISNA(data!A13),data!A13=""),"","'"&amp;B$1&amp;"' =&gt; ")</f>
        <v xml:space="preserve">'id' =&gt; </v>
      </c>
      <c r="C14" t="str">
        <f>IF(OR(ISBLANK(B14),ISERR(B14),ISERROR(B14),ISNA(B14),B14=""),"",IF(ISTEXT(data!A13),"'"&amp;data!A13&amp;"'",data!A13)&amp;",")</f>
        <v>12,</v>
      </c>
      <c r="D14" t="str">
        <f t="shared" si="2"/>
        <v xml:space="preserve">'parent_id' =&gt; </v>
      </c>
      <c r="E14" t="str">
        <f>IF(OR(ISBLANK(D14),ISERR(D14),ISERROR(D14),ISNA(D14),D14=""),"",IF(OR(ISBLANK(data!B13),ISERR(data!B13),ISERROR(data!B13),ISNA(data!B13),data!B13=""),"NULL",IF(ISTEXT(data!B13),"'"&amp;data!B13&amp;"'",data!B13))&amp;",")</f>
        <v>3,</v>
      </c>
      <c r="F14" t="str">
        <f>IF(OR(ISBLANK(A14),ISERR(A14),ISERROR(A14),ISNA(A14),A14=""&amp;ISBLANK(data!C13),ISERR(data!C13),ISERROR(data!C13),ISNA(data!C13),data!C13=""),"","'"&amp;F$1&amp;"' =&gt; ")</f>
        <v xml:space="preserve">'un_code' =&gt; </v>
      </c>
      <c r="G14" t="str">
        <f>IF(OR(ISBLANK(F14),ISERR(F14),ISERROR(F14),ISNA(F14),F14=""),"",IF(ISTEXT(data!C13),"'"&amp;data!C13&amp;"'",data!C13)&amp;",")</f>
        <v>'035',</v>
      </c>
      <c r="H14" t="str">
        <f>IF(OR(ISBLANK(A14),ISERR(A14),ISERROR(A14),ISNA(A14),A14=""&amp;ISBLANK(data!D13),ISERR(data!D13),ISERROR(data!D13),ISNA(data!D13),data!D13=""),"","'"&amp;H$1&amp;"' =&gt; ")</f>
        <v xml:space="preserve">'name' =&gt; </v>
      </c>
      <c r="I14" t="str">
        <f>IF(OR(ISBLANK(H14),ISERR(H14),ISERROR(H14),ISNA(H14),H14=""),"","'"&amp;SUBSTITUTE(data!D13,"'","\'")&amp;"'"&amp;",")</f>
        <v>'South-eastern Asia',</v>
      </c>
      <c r="J14" t="str">
        <f t="shared" si="3"/>
        <v>],</v>
      </c>
    </row>
    <row r="15" spans="1:10" x14ac:dyDescent="0.35">
      <c r="A15" t="str">
        <f>IF(OR(ISBLANK(data!A14),ISERR(data!A14),ISERROR(data!A14),ISNA(data!A14),data!A14="",ISBLANK(data!C14),ISERR(data!C14),ISERROR(data!C14),ISNA(data!C14),data!C14="",ISBLANK(data!D14),ISERR(data!D14),ISERROR(data!D14),ISNA(data!D14),data!D14=""),"","[")</f>
        <v>[</v>
      </c>
      <c r="B15" t="str">
        <f>IF(OR(ISBLANK(A15),ISERR(A15),ISERROR(A15),ISNA(A15),A15=""&amp;ISBLANK(data!A14),ISERR(data!A14),ISERROR(data!A14),ISNA(data!A14),data!A14=""),"","'"&amp;B$1&amp;"' =&gt; ")</f>
        <v xml:space="preserve">'id' =&gt; </v>
      </c>
      <c r="C15" t="str">
        <f>IF(OR(ISBLANK(B15),ISERR(B15),ISERROR(B15),ISNA(B15),B15=""),"",IF(ISTEXT(data!A14),"'"&amp;data!A14&amp;"'",data!A14)&amp;",")</f>
        <v>13,</v>
      </c>
      <c r="D15" t="str">
        <f t="shared" si="2"/>
        <v xml:space="preserve">'parent_id' =&gt; </v>
      </c>
      <c r="E15" t="str">
        <f>IF(OR(ISBLANK(D15),ISERR(D15),ISERROR(D15),ISNA(D15),D15=""),"",IF(OR(ISBLANK(data!B14),ISERR(data!B14),ISERROR(data!B14),ISNA(data!B14),data!B14=""),"NULL",IF(ISTEXT(data!B14),"'"&amp;data!B14&amp;"'",data!B14))&amp;",")</f>
        <v>3,</v>
      </c>
      <c r="F15" t="str">
        <f>IF(OR(ISBLANK(A15),ISERR(A15),ISERROR(A15),ISNA(A15),A15=""&amp;ISBLANK(data!C14),ISERR(data!C14),ISERROR(data!C14),ISNA(data!C14),data!C14=""),"","'"&amp;F$1&amp;"' =&gt; ")</f>
        <v xml:space="preserve">'un_code' =&gt; </v>
      </c>
      <c r="G15" t="str">
        <f>IF(OR(ISBLANK(F15),ISERR(F15),ISERROR(F15),ISNA(F15),F15=""),"",IF(ISTEXT(data!C14),"'"&amp;data!C14&amp;"'",data!C14)&amp;",")</f>
        <v>'034',</v>
      </c>
      <c r="H15" t="str">
        <f>IF(OR(ISBLANK(A15),ISERR(A15),ISERROR(A15),ISNA(A15),A15=""&amp;ISBLANK(data!D14),ISERR(data!D14),ISERROR(data!D14),ISNA(data!D14),data!D14=""),"","'"&amp;H$1&amp;"' =&gt; ")</f>
        <v xml:space="preserve">'name' =&gt; </v>
      </c>
      <c r="I15" t="str">
        <f>IF(OR(ISBLANK(H15),ISERR(H15),ISERROR(H15),ISNA(H15),H15=""),"","'"&amp;SUBSTITUTE(data!D14,"'","\'")&amp;"'"&amp;",")</f>
        <v>'Southern Asia',</v>
      </c>
      <c r="J15" t="str">
        <f t="shared" si="3"/>
        <v>],</v>
      </c>
    </row>
    <row r="16" spans="1:10" x14ac:dyDescent="0.35">
      <c r="A16" t="str">
        <f>IF(OR(ISBLANK(data!A15),ISERR(data!A15),ISERROR(data!A15),ISNA(data!A15),data!A15="",ISBLANK(data!C15),ISERR(data!C15),ISERROR(data!C15),ISNA(data!C15),data!C15="",ISBLANK(data!D15),ISERR(data!D15),ISERROR(data!D15),ISNA(data!D15),data!D15=""),"","[")</f>
        <v>[</v>
      </c>
      <c r="B16" t="str">
        <f>IF(OR(ISBLANK(A16),ISERR(A16),ISERROR(A16),ISNA(A16),A16=""&amp;ISBLANK(data!A15),ISERR(data!A15),ISERROR(data!A15),ISNA(data!A15),data!A15=""),"","'"&amp;B$1&amp;"' =&gt; ")</f>
        <v xml:space="preserve">'id' =&gt; </v>
      </c>
      <c r="C16" t="str">
        <f>IF(OR(ISBLANK(B16),ISERR(B16),ISERROR(B16),ISNA(B16),B16=""),"",IF(ISTEXT(data!A15),"'"&amp;data!A15&amp;"'",data!A15)&amp;",")</f>
        <v>14,</v>
      </c>
      <c r="D16" t="str">
        <f t="shared" si="2"/>
        <v xml:space="preserve">'parent_id' =&gt; </v>
      </c>
      <c r="E16" t="str">
        <f>IF(OR(ISBLANK(D16),ISERR(D16),ISERROR(D16),ISNA(D16),D16=""),"",IF(OR(ISBLANK(data!B15),ISERR(data!B15),ISERROR(data!B15),ISNA(data!B15),data!B15=""),"NULL",IF(ISTEXT(data!B15),"'"&amp;data!B15&amp;"'",data!B15))&amp;",")</f>
        <v>3,</v>
      </c>
      <c r="F16" t="str">
        <f>IF(OR(ISBLANK(A16),ISERR(A16),ISERROR(A16),ISNA(A16),A16=""&amp;ISBLANK(data!C15),ISERR(data!C15),ISERROR(data!C15),ISNA(data!C15),data!C15=""),"","'"&amp;F$1&amp;"' =&gt; ")</f>
        <v xml:space="preserve">'un_code' =&gt; </v>
      </c>
      <c r="G16" t="str">
        <f>IF(OR(ISBLANK(F16),ISERR(F16),ISERROR(F16),ISNA(F16),F16=""),"",IF(ISTEXT(data!C15),"'"&amp;data!C15&amp;"'",data!C15)&amp;",")</f>
        <v>'145',</v>
      </c>
      <c r="H16" t="str">
        <f>IF(OR(ISBLANK(A16),ISERR(A16),ISERROR(A16),ISNA(A16),A16=""&amp;ISBLANK(data!D15),ISERR(data!D15),ISERROR(data!D15),ISNA(data!D15),data!D15=""),"","'"&amp;H$1&amp;"' =&gt; ")</f>
        <v xml:space="preserve">'name' =&gt; </v>
      </c>
      <c r="I16" t="str">
        <f>IF(OR(ISBLANK(H16),ISERR(H16),ISERROR(H16),ISNA(H16),H16=""),"","'"&amp;SUBSTITUTE(data!D15,"'","\'")&amp;"'"&amp;",")</f>
        <v>'Western Asia',</v>
      </c>
      <c r="J16" t="str">
        <f t="shared" si="3"/>
        <v>],</v>
      </c>
    </row>
    <row r="17" spans="1:10" x14ac:dyDescent="0.35">
      <c r="A17" t="str">
        <f>IF(OR(ISBLANK(data!A16),ISERR(data!A16),ISERROR(data!A16),ISNA(data!A16),data!A16="",ISBLANK(data!C16),ISERR(data!C16),ISERROR(data!C16),ISNA(data!C16),data!C16="",ISBLANK(data!D16),ISERR(data!D16),ISERROR(data!D16),ISNA(data!D16),data!D16=""),"","[")</f>
        <v>[</v>
      </c>
      <c r="B17" t="str">
        <f>IF(OR(ISBLANK(A17),ISERR(A17),ISERROR(A17),ISNA(A17),A17=""&amp;ISBLANK(data!A16),ISERR(data!A16),ISERROR(data!A16),ISNA(data!A16),data!A16=""),"","'"&amp;B$1&amp;"' =&gt; ")</f>
        <v xml:space="preserve">'id' =&gt; </v>
      </c>
      <c r="C17" t="str">
        <f>IF(OR(ISBLANK(B17),ISERR(B17),ISERROR(B17),ISNA(B17),B17=""),"",IF(ISTEXT(data!A16),"'"&amp;data!A16&amp;"'",data!A16)&amp;",")</f>
        <v>15,</v>
      </c>
      <c r="D17" t="str">
        <f t="shared" si="2"/>
        <v xml:space="preserve">'parent_id' =&gt; </v>
      </c>
      <c r="E17" t="str">
        <f>IF(OR(ISBLANK(D17),ISERR(D17),ISERROR(D17),ISNA(D17),D17=""),"",IF(OR(ISBLANK(data!B16),ISERR(data!B16),ISERROR(data!B16),ISNA(data!B16),data!B16=""),"NULL",IF(ISTEXT(data!B16),"'"&amp;data!B16&amp;"'",data!B16))&amp;",")</f>
        <v>4,</v>
      </c>
      <c r="F17" t="str">
        <f>IF(OR(ISBLANK(A17),ISERR(A17),ISERROR(A17),ISNA(A17),A17=""&amp;ISBLANK(data!C16),ISERR(data!C16),ISERROR(data!C16),ISNA(data!C16),data!C16=""),"","'"&amp;F$1&amp;"' =&gt; ")</f>
        <v xml:space="preserve">'un_code' =&gt; </v>
      </c>
      <c r="G17" t="str">
        <f>IF(OR(ISBLANK(F17),ISERR(F17),ISERROR(F17),ISNA(F17),F17=""),"",IF(ISTEXT(data!C16),"'"&amp;data!C16&amp;"'",data!C16)&amp;",")</f>
        <v>'151',</v>
      </c>
      <c r="H17" t="str">
        <f>IF(OR(ISBLANK(A17),ISERR(A17),ISERROR(A17),ISNA(A17),A17=""&amp;ISBLANK(data!D16),ISERR(data!D16),ISERROR(data!D16),ISNA(data!D16),data!D16=""),"","'"&amp;H$1&amp;"' =&gt; ")</f>
        <v xml:space="preserve">'name' =&gt; </v>
      </c>
      <c r="I17" t="str">
        <f>IF(OR(ISBLANK(H17),ISERR(H17),ISERROR(H17),ISNA(H17),H17=""),"","'"&amp;SUBSTITUTE(data!D16,"'","\'")&amp;"'"&amp;",")</f>
        <v>'Eastern Europe',</v>
      </c>
      <c r="J17" t="str">
        <f t="shared" si="3"/>
        <v>],</v>
      </c>
    </row>
    <row r="18" spans="1:10" x14ac:dyDescent="0.35">
      <c r="A18" t="str">
        <f>IF(OR(ISBLANK(data!A17),ISERR(data!A17),ISERROR(data!A17),ISNA(data!A17),data!A17="",ISBLANK(data!C17),ISERR(data!C17),ISERROR(data!C17),ISNA(data!C17),data!C17="",ISBLANK(data!D17),ISERR(data!D17),ISERROR(data!D17),ISNA(data!D17),data!D17=""),"","[")</f>
        <v>[</v>
      </c>
      <c r="B18" t="str">
        <f>IF(OR(ISBLANK(A18),ISERR(A18),ISERROR(A18),ISNA(A18),A18=""&amp;ISBLANK(data!A17),ISERR(data!A17),ISERROR(data!A17),ISNA(data!A17),data!A17=""),"","'"&amp;B$1&amp;"' =&gt; ")</f>
        <v xml:space="preserve">'id' =&gt; </v>
      </c>
      <c r="C18" t="str">
        <f>IF(OR(ISBLANK(B18),ISERR(B18),ISERROR(B18),ISNA(B18),B18=""),"",IF(ISTEXT(data!A17),"'"&amp;data!A17&amp;"'",data!A17)&amp;",")</f>
        <v>16,</v>
      </c>
      <c r="D18" t="str">
        <f t="shared" si="2"/>
        <v xml:space="preserve">'parent_id' =&gt; </v>
      </c>
      <c r="E18" t="str">
        <f>IF(OR(ISBLANK(D18),ISERR(D18),ISERROR(D18),ISNA(D18),D18=""),"",IF(OR(ISBLANK(data!B17),ISERR(data!B17),ISERROR(data!B17),ISNA(data!B17),data!B17=""),"NULL",IF(ISTEXT(data!B17),"'"&amp;data!B17&amp;"'",data!B17))&amp;",")</f>
        <v>4,</v>
      </c>
      <c r="F18" t="str">
        <f>IF(OR(ISBLANK(A18),ISERR(A18),ISERROR(A18),ISNA(A18),A18=""&amp;ISBLANK(data!C17),ISERR(data!C17),ISERROR(data!C17),ISNA(data!C17),data!C17=""),"","'"&amp;F$1&amp;"' =&gt; ")</f>
        <v xml:space="preserve">'un_code' =&gt; </v>
      </c>
      <c r="G18" t="str">
        <f>IF(OR(ISBLANK(F18),ISERR(F18),ISERROR(F18),ISNA(F18),F18=""),"",IF(ISTEXT(data!C17),"'"&amp;data!C17&amp;"'",data!C17)&amp;",")</f>
        <v>'154',</v>
      </c>
      <c r="H18" t="str">
        <f>IF(OR(ISBLANK(A18),ISERR(A18),ISERROR(A18),ISNA(A18),A18=""&amp;ISBLANK(data!D17),ISERR(data!D17),ISERROR(data!D17),ISNA(data!D17),data!D17=""),"","'"&amp;H$1&amp;"' =&gt; ")</f>
        <v xml:space="preserve">'name' =&gt; </v>
      </c>
      <c r="I18" t="str">
        <f>IF(OR(ISBLANK(H18),ISERR(H18),ISERROR(H18),ISNA(H18),H18=""),"","'"&amp;SUBSTITUTE(data!D17,"'","\'")&amp;"'"&amp;",")</f>
        <v>'Northern Europe',</v>
      </c>
      <c r="J18" t="str">
        <f t="shared" si="3"/>
        <v>],</v>
      </c>
    </row>
    <row r="19" spans="1:10" x14ac:dyDescent="0.35">
      <c r="A19" t="str">
        <f>IF(OR(ISBLANK(data!A18),ISERR(data!A18),ISERROR(data!A18),ISNA(data!A18),data!A18="",ISBLANK(data!C18),ISERR(data!C18),ISERROR(data!C18),ISNA(data!C18),data!C18="",ISBLANK(data!D18),ISERR(data!D18),ISERROR(data!D18),ISNA(data!D18),data!D18=""),"","[")</f>
        <v>[</v>
      </c>
      <c r="B19" t="str">
        <f>IF(OR(ISBLANK(A19),ISERR(A19),ISERROR(A19),ISNA(A19),A19=""&amp;ISBLANK(data!A18),ISERR(data!A18),ISERROR(data!A18),ISNA(data!A18),data!A18=""),"","'"&amp;B$1&amp;"' =&gt; ")</f>
        <v xml:space="preserve">'id' =&gt; </v>
      </c>
      <c r="C19" t="str">
        <f>IF(OR(ISBLANK(B19),ISERR(B19),ISERROR(B19),ISNA(B19),B19=""),"",IF(ISTEXT(data!A18),"'"&amp;data!A18&amp;"'",data!A18)&amp;",")</f>
        <v>17,</v>
      </c>
      <c r="D19" t="str">
        <f t="shared" si="2"/>
        <v xml:space="preserve">'parent_id' =&gt; </v>
      </c>
      <c r="E19" t="str">
        <f>IF(OR(ISBLANK(D19),ISERR(D19),ISERROR(D19),ISNA(D19),D19=""),"",IF(OR(ISBLANK(data!B18),ISERR(data!B18),ISERROR(data!B18),ISNA(data!B18),data!B18=""),"NULL",IF(ISTEXT(data!B18),"'"&amp;data!B18&amp;"'",data!B18))&amp;",")</f>
        <v>4,</v>
      </c>
      <c r="F19" t="str">
        <f>IF(OR(ISBLANK(A19),ISERR(A19),ISERROR(A19),ISNA(A19),A19=""&amp;ISBLANK(data!C18),ISERR(data!C18),ISERROR(data!C18),ISNA(data!C18),data!C18=""),"","'"&amp;F$1&amp;"' =&gt; ")</f>
        <v xml:space="preserve">'un_code' =&gt; </v>
      </c>
      <c r="G19" t="str">
        <f>IF(OR(ISBLANK(F19),ISERR(F19),ISERROR(F19),ISNA(F19),F19=""),"",IF(ISTEXT(data!C18),"'"&amp;data!C18&amp;"'",data!C18)&amp;",")</f>
        <v>'039',</v>
      </c>
      <c r="H19" t="str">
        <f>IF(OR(ISBLANK(A19),ISERR(A19),ISERROR(A19),ISNA(A19),A19=""&amp;ISBLANK(data!D18),ISERR(data!D18),ISERROR(data!D18),ISNA(data!D18),data!D18=""),"","'"&amp;H$1&amp;"' =&gt; ")</f>
        <v xml:space="preserve">'name' =&gt; </v>
      </c>
      <c r="I19" t="str">
        <f>IF(OR(ISBLANK(H19),ISERR(H19),ISERROR(H19),ISNA(H19),H19=""),"","'"&amp;SUBSTITUTE(data!D18,"'","\'")&amp;"'"&amp;",")</f>
        <v>'Southern Europe',</v>
      </c>
      <c r="J19" t="str">
        <f t="shared" si="3"/>
        <v>],</v>
      </c>
    </row>
    <row r="20" spans="1:10" x14ac:dyDescent="0.35">
      <c r="A20" t="str">
        <f>IF(OR(ISBLANK(data!A19),ISERR(data!A19),ISERROR(data!A19),ISNA(data!A19),data!A19="",ISBLANK(data!C19),ISERR(data!C19),ISERROR(data!C19),ISNA(data!C19),data!C19="",ISBLANK(data!D19),ISERR(data!D19),ISERROR(data!D19),ISNA(data!D19),data!D19=""),"","[")</f>
        <v>[</v>
      </c>
      <c r="B20" t="str">
        <f>IF(OR(ISBLANK(A20),ISERR(A20),ISERROR(A20),ISNA(A20),A20=""&amp;ISBLANK(data!A19),ISERR(data!A19),ISERROR(data!A19),ISNA(data!A19),data!A19=""),"","'"&amp;B$1&amp;"' =&gt; ")</f>
        <v xml:space="preserve">'id' =&gt; </v>
      </c>
      <c r="C20" t="str">
        <f>IF(OR(ISBLANK(B20),ISERR(B20),ISERROR(B20),ISNA(B20),B20=""),"",IF(ISTEXT(data!A19),"'"&amp;data!A19&amp;"'",data!A19)&amp;",")</f>
        <v>18,</v>
      </c>
      <c r="D20" t="str">
        <f t="shared" si="2"/>
        <v xml:space="preserve">'parent_id' =&gt; </v>
      </c>
      <c r="E20" t="str">
        <f>IF(OR(ISBLANK(D20),ISERR(D20),ISERROR(D20),ISNA(D20),D20=""),"",IF(OR(ISBLANK(data!B19),ISERR(data!B19),ISERROR(data!B19),ISNA(data!B19),data!B19=""),"NULL",IF(ISTEXT(data!B19),"'"&amp;data!B19&amp;"'",data!B19))&amp;",")</f>
        <v>4,</v>
      </c>
      <c r="F20" t="str">
        <f>IF(OR(ISBLANK(A20),ISERR(A20),ISERROR(A20),ISNA(A20),A20=""&amp;ISBLANK(data!C19),ISERR(data!C19),ISERROR(data!C19),ISNA(data!C19),data!C19=""),"","'"&amp;F$1&amp;"' =&gt; ")</f>
        <v xml:space="preserve">'un_code' =&gt; </v>
      </c>
      <c r="G20" t="str">
        <f>IF(OR(ISBLANK(F20),ISERR(F20),ISERROR(F20),ISNA(F20),F20=""),"",IF(ISTEXT(data!C19),"'"&amp;data!C19&amp;"'",data!C19)&amp;",")</f>
        <v>'155',</v>
      </c>
      <c r="H20" t="str">
        <f>IF(OR(ISBLANK(A20),ISERR(A20),ISERROR(A20),ISNA(A20),A20=""&amp;ISBLANK(data!D19),ISERR(data!D19),ISERROR(data!D19),ISNA(data!D19),data!D19=""),"","'"&amp;H$1&amp;"' =&gt; ")</f>
        <v xml:space="preserve">'name' =&gt; </v>
      </c>
      <c r="I20" t="str">
        <f>IF(OR(ISBLANK(H20),ISERR(H20),ISERROR(H20),ISNA(H20),H20=""),"","'"&amp;SUBSTITUTE(data!D19,"'","\'")&amp;"'"&amp;",")</f>
        <v>'Western Europe',</v>
      </c>
      <c r="J20" t="str">
        <f t="shared" si="3"/>
        <v>],</v>
      </c>
    </row>
    <row r="21" spans="1:10" x14ac:dyDescent="0.35">
      <c r="A21" t="str">
        <f>IF(OR(ISBLANK(data!A20),ISERR(data!A20),ISERROR(data!A20),ISNA(data!A20),data!A20="",ISBLANK(data!C20),ISERR(data!C20),ISERROR(data!C20),ISNA(data!C20),data!C20="",ISBLANK(data!D20),ISERR(data!D20),ISERROR(data!D20),ISNA(data!D20),data!D20=""),"","[")</f>
        <v>[</v>
      </c>
      <c r="B21" t="str">
        <f>IF(OR(ISBLANK(A21),ISERR(A21),ISERROR(A21),ISNA(A21),A21=""&amp;ISBLANK(data!A20),ISERR(data!A20),ISERROR(data!A20),ISNA(data!A20),data!A20=""),"","'"&amp;B$1&amp;"' =&gt; ")</f>
        <v xml:space="preserve">'id' =&gt; </v>
      </c>
      <c r="C21" t="str">
        <f>IF(OR(ISBLANK(B21),ISERR(B21),ISERROR(B21),ISNA(B21),B21=""),"",IF(ISTEXT(data!A20),"'"&amp;data!A20&amp;"'",data!A20)&amp;",")</f>
        <v>19,</v>
      </c>
      <c r="D21" t="str">
        <f t="shared" si="2"/>
        <v xml:space="preserve">'parent_id' =&gt; </v>
      </c>
      <c r="E21" t="str">
        <f>IF(OR(ISBLANK(D21),ISERR(D21),ISERROR(D21),ISNA(D21),D21=""),"",IF(OR(ISBLANK(data!B20),ISERR(data!B20),ISERROR(data!B20),ISNA(data!B20),data!B20=""),"NULL",IF(ISTEXT(data!B20),"'"&amp;data!B20&amp;"'",data!B20))&amp;",")</f>
        <v>5,</v>
      </c>
      <c r="F21" t="str">
        <f>IF(OR(ISBLANK(A21),ISERR(A21),ISERROR(A21),ISNA(A21),A21=""&amp;ISBLANK(data!C20),ISERR(data!C20),ISERROR(data!C20),ISNA(data!C20),data!C20=""),"","'"&amp;F$1&amp;"' =&gt; ")</f>
        <v xml:space="preserve">'un_code' =&gt; </v>
      </c>
      <c r="G21" t="str">
        <f>IF(OR(ISBLANK(F21),ISERR(F21),ISERROR(F21),ISNA(F21),F21=""),"",IF(ISTEXT(data!C20),"'"&amp;data!C20&amp;"'",data!C20)&amp;",")</f>
        <v>'053',</v>
      </c>
      <c r="H21" t="str">
        <f>IF(OR(ISBLANK(A21),ISERR(A21),ISERROR(A21),ISNA(A21),A21=""&amp;ISBLANK(data!D20),ISERR(data!D20),ISERROR(data!D20),ISNA(data!D20),data!D20=""),"","'"&amp;H$1&amp;"' =&gt; ")</f>
        <v xml:space="preserve">'name' =&gt; </v>
      </c>
      <c r="I21" t="str">
        <f>IF(OR(ISBLANK(H21),ISERR(H21),ISERROR(H21),ISNA(H21),H21=""),"","'"&amp;SUBSTITUTE(data!D20,"'","\'")&amp;"'"&amp;",")</f>
        <v>'Australia and New Zealand',</v>
      </c>
      <c r="J21" t="str">
        <f t="shared" si="3"/>
        <v>],</v>
      </c>
    </row>
    <row r="22" spans="1:10" x14ac:dyDescent="0.35">
      <c r="A22" t="str">
        <f>IF(OR(ISBLANK(data!A21),ISERR(data!A21),ISERROR(data!A21),ISNA(data!A21),data!A21="",ISBLANK(data!C21),ISERR(data!C21),ISERROR(data!C21),ISNA(data!C21),data!C21="",ISBLANK(data!D21),ISERR(data!D21),ISERROR(data!D21),ISNA(data!D21),data!D21=""),"","[")</f>
        <v>[</v>
      </c>
      <c r="B22" t="str">
        <f>IF(OR(ISBLANK(A22),ISERR(A22),ISERROR(A22),ISNA(A22),A22=""&amp;ISBLANK(data!A21),ISERR(data!A21),ISERROR(data!A21),ISNA(data!A21),data!A21=""),"","'"&amp;B$1&amp;"' =&gt; ")</f>
        <v xml:space="preserve">'id' =&gt; </v>
      </c>
      <c r="C22" t="str">
        <f>IF(OR(ISBLANK(B22),ISERR(B22),ISERROR(B22),ISNA(B22),B22=""),"",IF(ISTEXT(data!A21),"'"&amp;data!A21&amp;"'",data!A21)&amp;",")</f>
        <v>20,</v>
      </c>
      <c r="D22" t="str">
        <f t="shared" si="2"/>
        <v xml:space="preserve">'parent_id' =&gt; </v>
      </c>
      <c r="E22" t="str">
        <f>IF(OR(ISBLANK(D22),ISERR(D22),ISERROR(D22),ISNA(D22),D22=""),"",IF(OR(ISBLANK(data!B21),ISERR(data!B21),ISERROR(data!B21),ISNA(data!B21),data!B21=""),"NULL",IF(ISTEXT(data!B21),"'"&amp;data!B21&amp;"'",data!B21))&amp;",")</f>
        <v>5,</v>
      </c>
      <c r="F22" t="str">
        <f>IF(OR(ISBLANK(A22),ISERR(A22),ISERROR(A22),ISNA(A22),A22=""&amp;ISBLANK(data!C21),ISERR(data!C21),ISERROR(data!C21),ISNA(data!C21),data!C21=""),"","'"&amp;F$1&amp;"' =&gt; ")</f>
        <v xml:space="preserve">'un_code' =&gt; </v>
      </c>
      <c r="G22" t="str">
        <f>IF(OR(ISBLANK(F22),ISERR(F22),ISERROR(F22),ISNA(F22),F22=""),"",IF(ISTEXT(data!C21),"'"&amp;data!C21&amp;"'",data!C21)&amp;",")</f>
        <v>'054',</v>
      </c>
      <c r="H22" t="str">
        <f>IF(OR(ISBLANK(A22),ISERR(A22),ISERROR(A22),ISNA(A22),A22=""&amp;ISBLANK(data!D21),ISERR(data!D21),ISERROR(data!D21),ISNA(data!D21),data!D21=""),"","'"&amp;H$1&amp;"' =&gt; ")</f>
        <v xml:space="preserve">'name' =&gt; </v>
      </c>
      <c r="I22" t="str">
        <f>IF(OR(ISBLANK(H22),ISERR(H22),ISERROR(H22),ISNA(H22),H22=""),"","'"&amp;SUBSTITUTE(data!D21,"'","\'")&amp;"'"&amp;",")</f>
        <v>'Melanesia',</v>
      </c>
      <c r="J22" t="str">
        <f t="shared" si="3"/>
        <v>],</v>
      </c>
    </row>
    <row r="23" spans="1:10" x14ac:dyDescent="0.35">
      <c r="A23" t="str">
        <f>IF(OR(ISBLANK(data!A22),ISERR(data!A22),ISERROR(data!A22),ISNA(data!A22),data!A22="",ISBLANK(data!C22),ISERR(data!C22),ISERROR(data!C22),ISNA(data!C22),data!C22="",ISBLANK(data!D22),ISERR(data!D22),ISERROR(data!D22),ISNA(data!D22),data!D22=""),"","[")</f>
        <v>[</v>
      </c>
      <c r="B23" t="str">
        <f>IF(OR(ISBLANK(A23),ISERR(A23),ISERROR(A23),ISNA(A23),A23=""&amp;ISBLANK(data!A22),ISERR(data!A22),ISERROR(data!A22),ISNA(data!A22),data!A22=""),"","'"&amp;B$1&amp;"' =&gt; ")</f>
        <v xml:space="preserve">'id' =&gt; </v>
      </c>
      <c r="C23" t="str">
        <f>IF(OR(ISBLANK(B23),ISERR(B23),ISERROR(B23),ISNA(B23),B23=""),"",IF(ISTEXT(data!A22),"'"&amp;data!A22&amp;"'",data!A22)&amp;",")</f>
        <v>21,</v>
      </c>
      <c r="D23" t="str">
        <f t="shared" si="2"/>
        <v xml:space="preserve">'parent_id' =&gt; </v>
      </c>
      <c r="E23" t="str">
        <f>IF(OR(ISBLANK(D23),ISERR(D23),ISERROR(D23),ISNA(D23),D23=""),"",IF(OR(ISBLANK(data!B22),ISERR(data!B22),ISERROR(data!B22),ISNA(data!B22),data!B22=""),"NULL",IF(ISTEXT(data!B22),"'"&amp;data!B22&amp;"'",data!B22))&amp;",")</f>
        <v>5,</v>
      </c>
      <c r="F23" t="str">
        <f>IF(OR(ISBLANK(A23),ISERR(A23),ISERROR(A23),ISNA(A23),A23=""&amp;ISBLANK(data!C22),ISERR(data!C22),ISERROR(data!C22),ISNA(data!C22),data!C22=""),"","'"&amp;F$1&amp;"' =&gt; ")</f>
        <v xml:space="preserve">'un_code' =&gt; </v>
      </c>
      <c r="G23" t="str">
        <f>IF(OR(ISBLANK(F23),ISERR(F23),ISERROR(F23),ISNA(F23),F23=""),"",IF(ISTEXT(data!C22),"'"&amp;data!C22&amp;"'",data!C22)&amp;",")</f>
        <v>'057',</v>
      </c>
      <c r="H23" t="str">
        <f>IF(OR(ISBLANK(A23),ISERR(A23),ISERROR(A23),ISNA(A23),A23=""&amp;ISBLANK(data!D22),ISERR(data!D22),ISERROR(data!D22),ISNA(data!D22),data!D22=""),"","'"&amp;H$1&amp;"' =&gt; ")</f>
        <v xml:space="preserve">'name' =&gt; </v>
      </c>
      <c r="I23" t="str">
        <f>IF(OR(ISBLANK(H23),ISERR(H23),ISERROR(H23),ISNA(H23),H23=""),"","'"&amp;SUBSTITUTE(data!D22,"'","\'")&amp;"'"&amp;",")</f>
        <v>'Micronesia',</v>
      </c>
      <c r="J23" t="str">
        <f t="shared" si="3"/>
        <v>],</v>
      </c>
    </row>
    <row r="24" spans="1:10" x14ac:dyDescent="0.35">
      <c r="A24" t="str">
        <f>IF(OR(ISBLANK(data!A23),ISERR(data!A23),ISERROR(data!A23),ISNA(data!A23),data!A23="",ISBLANK(data!C23),ISERR(data!C23),ISERROR(data!C23),ISNA(data!C23),data!C23="",ISBLANK(data!D23),ISERR(data!D23),ISERROR(data!D23),ISNA(data!D23),data!D23=""),"","[")</f>
        <v>[</v>
      </c>
      <c r="B24" t="str">
        <f>IF(OR(ISBLANK(A24),ISERR(A24),ISERROR(A24),ISNA(A24),A24=""&amp;ISBLANK(data!A23),ISERR(data!A23),ISERROR(data!A23),ISNA(data!A23),data!A23=""),"","'"&amp;B$1&amp;"' =&gt; ")</f>
        <v xml:space="preserve">'id' =&gt; </v>
      </c>
      <c r="C24" t="str">
        <f>IF(OR(ISBLANK(B24),ISERR(B24),ISERROR(B24),ISNA(B24),B24=""),"",IF(ISTEXT(data!A23),"'"&amp;data!A23&amp;"'",data!A23)&amp;",")</f>
        <v>22,</v>
      </c>
      <c r="D24" t="str">
        <f t="shared" ref="D24:D34" si="4">IF(OR(ISBLANK(A24),ISERR(A24),ISERROR(A24),ISNA(A24),A24=""),"","'"&amp;D$1&amp;"' =&gt; ")</f>
        <v xml:space="preserve">'parent_id' =&gt; </v>
      </c>
      <c r="E24" t="str">
        <f>IF(OR(ISBLANK(D24),ISERR(D24),ISERROR(D24),ISNA(D24),D24=""),"",IF(OR(ISBLANK(data!B23),ISERR(data!B23),ISERROR(data!B23),ISNA(data!B23),data!B23=""),"NULL",IF(ISTEXT(data!B23),"'"&amp;data!B23&amp;"'",data!B23))&amp;",")</f>
        <v>5,</v>
      </c>
      <c r="F24" t="str">
        <f>IF(OR(ISBLANK(A24),ISERR(A24),ISERROR(A24),ISNA(A24),A24=""&amp;ISBLANK(data!C23),ISERR(data!C23),ISERROR(data!C23),ISNA(data!C23),data!C23=""),"","'"&amp;F$1&amp;"' =&gt; ")</f>
        <v xml:space="preserve">'un_code' =&gt; </v>
      </c>
      <c r="G24" t="str">
        <f>IF(OR(ISBLANK(F24),ISERR(F24),ISERROR(F24),ISNA(F24),F24=""),"",IF(ISTEXT(data!C23),"'"&amp;data!C23&amp;"'",data!C23)&amp;",")</f>
        <v>'061',</v>
      </c>
      <c r="H24" t="str">
        <f>IF(OR(ISBLANK(A24),ISERR(A24),ISERROR(A24),ISNA(A24),A24=""&amp;ISBLANK(data!D23),ISERR(data!D23),ISERROR(data!D23),ISNA(data!D23),data!D23=""),"","'"&amp;H$1&amp;"' =&gt; ")</f>
        <v xml:space="preserve">'name' =&gt; </v>
      </c>
      <c r="I24" t="str">
        <f>IF(OR(ISBLANK(H24),ISERR(H24),ISERROR(H24),ISNA(H24),H24=""),"","'"&amp;SUBSTITUTE(data!D23,"'","\'")&amp;"'"&amp;",")</f>
        <v>'Polynesia',</v>
      </c>
      <c r="J24" t="str">
        <f t="shared" ref="J24:J34" si="5">IF(OR(ISBLANK(A24),ISERR(A24),ISERROR(A24),ISNA(A24),A24=""),"","],")</f>
        <v>],</v>
      </c>
    </row>
    <row r="25" spans="1:10" x14ac:dyDescent="0.35">
      <c r="A25" t="str">
        <f>IF(OR(ISBLANK(data!A24),ISERR(data!A24),ISERROR(data!A24),ISNA(data!A24),data!A24="",ISBLANK(data!C24),ISERR(data!C24),ISERROR(data!C24),ISNA(data!C24),data!C24="",ISBLANK(data!D24),ISERR(data!D24),ISERROR(data!D24),ISNA(data!D24),data!D24=""),"","[")</f>
        <v>[</v>
      </c>
      <c r="B25" t="str">
        <f>IF(OR(ISBLANK(A25),ISERR(A25),ISERROR(A25),ISNA(A25),A25=""&amp;ISBLANK(data!A24),ISERR(data!A24),ISERROR(data!A24),ISNA(data!A24),data!A24=""),"","'"&amp;B$1&amp;"' =&gt; ")</f>
        <v xml:space="preserve">'id' =&gt; </v>
      </c>
      <c r="C25" t="str">
        <f>IF(OR(ISBLANK(B25),ISERR(B25),ISERROR(B25),ISNA(B25),B25=""),"",IF(ISTEXT(data!A24),"'"&amp;data!A24&amp;"'",data!A24)&amp;",")</f>
        <v>23,</v>
      </c>
      <c r="D25" t="str">
        <f t="shared" si="4"/>
        <v xml:space="preserve">'parent_id' =&gt; </v>
      </c>
      <c r="E25" t="str">
        <f>IF(OR(ISBLANK(D25),ISERR(D25),ISERROR(D25),ISNA(D25),D25=""),"",IF(OR(ISBLANK(data!B24),ISERR(data!B24),ISERROR(data!B24),ISNA(data!B24),data!B24=""),"NULL",IF(ISTEXT(data!B24),"'"&amp;data!B24&amp;"'",data!B24))&amp;",")</f>
        <v>7,</v>
      </c>
      <c r="F25" t="str">
        <f>IF(OR(ISBLANK(A25),ISERR(A25),ISERROR(A25),ISNA(A25),A25=""&amp;ISBLANK(data!C24),ISERR(data!C24),ISERROR(data!C24),ISNA(data!C24),data!C24=""),"","'"&amp;F$1&amp;"' =&gt; ")</f>
        <v xml:space="preserve">'un_code' =&gt; </v>
      </c>
      <c r="G25" t="str">
        <f>IF(OR(ISBLANK(F25),ISERR(F25),ISERROR(F25),ISNA(F25),F25=""),"",IF(ISTEXT(data!C24),"'"&amp;data!C24&amp;"'",data!C24)&amp;",")</f>
        <v>'014',</v>
      </c>
      <c r="H25" t="str">
        <f>IF(OR(ISBLANK(A25),ISERR(A25),ISERROR(A25),ISNA(A25),A25=""&amp;ISBLANK(data!D24),ISERR(data!D24),ISERROR(data!D24),ISNA(data!D24),data!D24=""),"","'"&amp;H$1&amp;"' =&gt; ")</f>
        <v xml:space="preserve">'name' =&gt; </v>
      </c>
      <c r="I25" t="str">
        <f>IF(OR(ISBLANK(H25),ISERR(H25),ISERROR(H25),ISNA(H25),H25=""),"","'"&amp;SUBSTITUTE(data!D24,"'","\'")&amp;"'"&amp;",")</f>
        <v>'Eastern Africa',</v>
      </c>
      <c r="J25" t="str">
        <f t="shared" si="5"/>
        <v>],</v>
      </c>
    </row>
    <row r="26" spans="1:10" x14ac:dyDescent="0.35">
      <c r="A26" t="str">
        <f>IF(OR(ISBLANK(data!A25),ISERR(data!A25),ISERROR(data!A25),ISNA(data!A25),data!A25="",ISBLANK(data!C25),ISERR(data!C25),ISERROR(data!C25),ISNA(data!C25),data!C25="",ISBLANK(data!D25),ISERR(data!D25),ISERROR(data!D25),ISNA(data!D25),data!D25=""),"","[")</f>
        <v>[</v>
      </c>
      <c r="B26" t="str">
        <f>IF(OR(ISBLANK(A26),ISERR(A26),ISERROR(A26),ISNA(A26),A26=""&amp;ISBLANK(data!A25),ISERR(data!A25),ISERROR(data!A25),ISNA(data!A25),data!A25=""),"","'"&amp;B$1&amp;"' =&gt; ")</f>
        <v xml:space="preserve">'id' =&gt; </v>
      </c>
      <c r="C26" t="str">
        <f>IF(OR(ISBLANK(B26),ISERR(B26),ISERROR(B26),ISNA(B26),B26=""),"",IF(ISTEXT(data!A25),"'"&amp;data!A25&amp;"'",data!A25)&amp;",")</f>
        <v>24,</v>
      </c>
      <c r="D26" t="str">
        <f t="shared" si="4"/>
        <v xml:space="preserve">'parent_id' =&gt; </v>
      </c>
      <c r="E26" t="str">
        <f>IF(OR(ISBLANK(D26),ISERR(D26),ISERROR(D26),ISNA(D26),D26=""),"",IF(OR(ISBLANK(data!B25),ISERR(data!B25),ISERROR(data!B25),ISNA(data!B25),data!B25=""),"NULL",IF(ISTEXT(data!B25),"'"&amp;data!B25&amp;"'",data!B25))&amp;",")</f>
        <v>7,</v>
      </c>
      <c r="F26" t="str">
        <f>IF(OR(ISBLANK(A26),ISERR(A26),ISERROR(A26),ISNA(A26),A26=""&amp;ISBLANK(data!C25),ISERR(data!C25),ISERROR(data!C25),ISNA(data!C25),data!C25=""),"","'"&amp;F$1&amp;"' =&gt; ")</f>
        <v xml:space="preserve">'un_code' =&gt; </v>
      </c>
      <c r="G26" t="str">
        <f>IF(OR(ISBLANK(F26),ISERR(F26),ISERROR(F26),ISNA(F26),F26=""),"",IF(ISTEXT(data!C25),"'"&amp;data!C25&amp;"'",data!C25)&amp;",")</f>
        <v>'017',</v>
      </c>
      <c r="H26" t="str">
        <f>IF(OR(ISBLANK(A26),ISERR(A26),ISERROR(A26),ISNA(A26),A26=""&amp;ISBLANK(data!D25),ISERR(data!D25),ISERROR(data!D25),ISNA(data!D25),data!D25=""),"","'"&amp;H$1&amp;"' =&gt; ")</f>
        <v xml:space="preserve">'name' =&gt; </v>
      </c>
      <c r="I26" t="str">
        <f>IF(OR(ISBLANK(H26),ISERR(H26),ISERROR(H26),ISNA(H26),H26=""),"","'"&amp;SUBSTITUTE(data!D25,"'","\'")&amp;"'"&amp;",")</f>
        <v>'Middle Africa',</v>
      </c>
      <c r="J26" t="str">
        <f t="shared" si="5"/>
        <v>],</v>
      </c>
    </row>
    <row r="27" spans="1:10" x14ac:dyDescent="0.35">
      <c r="A27" t="str">
        <f>IF(OR(ISBLANK(data!A26),ISERR(data!A26),ISERROR(data!A26),ISNA(data!A26),data!A26="",ISBLANK(data!C26),ISERR(data!C26),ISERROR(data!C26),ISNA(data!C26),data!C26="",ISBLANK(data!D26),ISERR(data!D26),ISERROR(data!D26),ISNA(data!D26),data!D26=""),"","[")</f>
        <v>[</v>
      </c>
      <c r="B27" t="str">
        <f>IF(OR(ISBLANK(A27),ISERR(A27),ISERROR(A27),ISNA(A27),A27=""&amp;ISBLANK(data!A26),ISERR(data!A26),ISERROR(data!A26),ISNA(data!A26),data!A26=""),"","'"&amp;B$1&amp;"' =&gt; ")</f>
        <v xml:space="preserve">'id' =&gt; </v>
      </c>
      <c r="C27" t="str">
        <f>IF(OR(ISBLANK(B27),ISERR(B27),ISERROR(B27),ISNA(B27),B27=""),"",IF(ISTEXT(data!A26),"'"&amp;data!A26&amp;"'",data!A26)&amp;",")</f>
        <v>25,</v>
      </c>
      <c r="D27" t="str">
        <f t="shared" si="4"/>
        <v xml:space="preserve">'parent_id' =&gt; </v>
      </c>
      <c r="E27" t="str">
        <f>IF(OR(ISBLANK(D27),ISERR(D27),ISERROR(D27),ISNA(D27),D27=""),"",IF(OR(ISBLANK(data!B26),ISERR(data!B26),ISERROR(data!B26),ISNA(data!B26),data!B26=""),"NULL",IF(ISTEXT(data!B26),"'"&amp;data!B26&amp;"'",data!B26))&amp;",")</f>
        <v>7,</v>
      </c>
      <c r="F27" t="str">
        <f>IF(OR(ISBLANK(A27),ISERR(A27),ISERROR(A27),ISNA(A27),A27=""&amp;ISBLANK(data!C26),ISERR(data!C26),ISERROR(data!C26),ISNA(data!C26),data!C26=""),"","'"&amp;F$1&amp;"' =&gt; ")</f>
        <v xml:space="preserve">'un_code' =&gt; </v>
      </c>
      <c r="G27" t="str">
        <f>IF(OR(ISBLANK(F27),ISERR(F27),ISERROR(F27),ISNA(F27),F27=""),"",IF(ISTEXT(data!C26),"'"&amp;data!C26&amp;"'",data!C26)&amp;",")</f>
        <v>'018',</v>
      </c>
      <c r="H27" t="str">
        <f>IF(OR(ISBLANK(A27),ISERR(A27),ISERROR(A27),ISNA(A27),A27=""&amp;ISBLANK(data!D26),ISERR(data!D26),ISERROR(data!D26),ISNA(data!D26),data!D26=""),"","'"&amp;H$1&amp;"' =&gt; ")</f>
        <v xml:space="preserve">'name' =&gt; </v>
      </c>
      <c r="I27" t="str">
        <f>IF(OR(ISBLANK(H27),ISERR(H27),ISERROR(H27),ISNA(H27),H27=""),"","'"&amp;SUBSTITUTE(data!D26,"'","\'")&amp;"'"&amp;",")</f>
        <v>'Southern Africa',</v>
      </c>
      <c r="J27" t="str">
        <f t="shared" si="5"/>
        <v>],</v>
      </c>
    </row>
    <row r="28" spans="1:10" x14ac:dyDescent="0.35">
      <c r="A28" t="str">
        <f>IF(OR(ISBLANK(data!A27),ISERR(data!A27),ISERROR(data!A27),ISNA(data!A27),data!A27="",ISBLANK(data!C27),ISERR(data!C27),ISERROR(data!C27),ISNA(data!C27),data!C27="",ISBLANK(data!D27),ISERR(data!D27),ISERROR(data!D27),ISNA(data!D27),data!D27=""),"","[")</f>
        <v>[</v>
      </c>
      <c r="B28" t="str">
        <f>IF(OR(ISBLANK(A28),ISERR(A28),ISERROR(A28),ISNA(A28),A28=""&amp;ISBLANK(data!A27),ISERR(data!A27),ISERROR(data!A27),ISNA(data!A27),data!A27=""),"","'"&amp;B$1&amp;"' =&gt; ")</f>
        <v xml:space="preserve">'id' =&gt; </v>
      </c>
      <c r="C28" t="str">
        <f>IF(OR(ISBLANK(B28),ISERR(B28),ISERROR(B28),ISNA(B28),B28=""),"",IF(ISTEXT(data!A27),"'"&amp;data!A27&amp;"'",data!A27)&amp;",")</f>
        <v>26,</v>
      </c>
      <c r="D28" t="str">
        <f t="shared" si="4"/>
        <v xml:space="preserve">'parent_id' =&gt; </v>
      </c>
      <c r="E28" t="str">
        <f>IF(OR(ISBLANK(D28),ISERR(D28),ISERROR(D28),ISNA(D28),D28=""),"",IF(OR(ISBLANK(data!B27),ISERR(data!B27),ISERROR(data!B27),ISNA(data!B27),data!B27=""),"NULL",IF(ISTEXT(data!B27),"'"&amp;data!B27&amp;"'",data!B27))&amp;",")</f>
        <v>7,</v>
      </c>
      <c r="F28" t="str">
        <f>IF(OR(ISBLANK(A28),ISERR(A28),ISERROR(A28),ISNA(A28),A28=""&amp;ISBLANK(data!C27),ISERR(data!C27),ISERROR(data!C27),ISNA(data!C27),data!C27=""),"","'"&amp;F$1&amp;"' =&gt; ")</f>
        <v xml:space="preserve">'un_code' =&gt; </v>
      </c>
      <c r="G28" t="str">
        <f>IF(OR(ISBLANK(F28),ISERR(F28),ISERROR(F28),ISNA(F28),F28=""),"",IF(ISTEXT(data!C27),"'"&amp;data!C27&amp;"'",data!C27)&amp;",")</f>
        <v>'011',</v>
      </c>
      <c r="H28" t="str">
        <f>IF(OR(ISBLANK(A28),ISERR(A28),ISERROR(A28),ISNA(A28),A28=""&amp;ISBLANK(data!D27),ISERR(data!D27),ISERROR(data!D27),ISNA(data!D27),data!D27=""),"","'"&amp;H$1&amp;"' =&gt; ")</f>
        <v xml:space="preserve">'name' =&gt; </v>
      </c>
      <c r="I28" t="str">
        <f>IF(OR(ISBLANK(H28),ISERR(H28),ISERROR(H28),ISNA(H28),H28=""),"","'"&amp;SUBSTITUTE(data!D27,"'","\'")&amp;"'"&amp;",")</f>
        <v>'Western Africa',</v>
      </c>
      <c r="J28" t="str">
        <f t="shared" si="5"/>
        <v>],</v>
      </c>
    </row>
    <row r="29" spans="1:10" x14ac:dyDescent="0.35">
      <c r="A29" t="str">
        <f>IF(OR(ISBLANK(data!A28),ISERR(data!A28),ISERROR(data!A28),ISNA(data!A28),data!A28="",ISBLANK(data!C28),ISERR(data!C28),ISERROR(data!C28),ISNA(data!C28),data!C28="",ISBLANK(data!D28),ISERR(data!D28),ISERROR(data!D28),ISNA(data!D28),data!D28=""),"","[")</f>
        <v>[</v>
      </c>
      <c r="B29" t="str">
        <f>IF(OR(ISBLANK(A29),ISERR(A29),ISERROR(A29),ISNA(A29),A29=""&amp;ISBLANK(data!A28),ISERR(data!A28),ISERROR(data!A28),ISNA(data!A28),data!A28=""),"","'"&amp;B$1&amp;"' =&gt; ")</f>
        <v xml:space="preserve">'id' =&gt; </v>
      </c>
      <c r="C29" t="str">
        <f>IF(OR(ISBLANK(B29),ISERR(B29),ISERROR(B29),ISNA(B29),B29=""),"",IF(ISTEXT(data!A28),"'"&amp;data!A28&amp;"'",data!A28)&amp;",")</f>
        <v>27,</v>
      </c>
      <c r="D29" t="str">
        <f t="shared" si="4"/>
        <v xml:space="preserve">'parent_id' =&gt; </v>
      </c>
      <c r="E29" t="str">
        <f>IF(OR(ISBLANK(D29),ISERR(D29),ISERROR(D29),ISNA(D29),D29=""),"",IF(OR(ISBLANK(data!B28),ISERR(data!B28),ISERROR(data!B28),ISNA(data!B28),data!B28=""),"NULL",IF(ISTEXT(data!B28),"'"&amp;data!B28&amp;"'",data!B28))&amp;",")</f>
        <v>8,</v>
      </c>
      <c r="F29" t="str">
        <f>IF(OR(ISBLANK(A29),ISERR(A29),ISERROR(A29),ISNA(A29),A29=""&amp;ISBLANK(data!C28),ISERR(data!C28),ISERROR(data!C28),ISNA(data!C28),data!C28=""),"","'"&amp;F$1&amp;"' =&gt; ")</f>
        <v xml:space="preserve">'un_code' =&gt; </v>
      </c>
      <c r="G29" t="str">
        <f>IF(OR(ISBLANK(F29),ISERR(F29),ISERROR(F29),ISNA(F29),F29=""),"",IF(ISTEXT(data!C28),"'"&amp;data!C28&amp;"'",data!C28)&amp;",")</f>
        <v>'029',</v>
      </c>
      <c r="H29" t="str">
        <f>IF(OR(ISBLANK(A29),ISERR(A29),ISERROR(A29),ISNA(A29),A29=""&amp;ISBLANK(data!D28),ISERR(data!D28),ISERROR(data!D28),ISNA(data!D28),data!D28=""),"","'"&amp;H$1&amp;"' =&gt; ")</f>
        <v xml:space="preserve">'name' =&gt; </v>
      </c>
      <c r="I29" t="str">
        <f>IF(OR(ISBLANK(H29),ISERR(H29),ISERROR(H29),ISNA(H29),H29=""),"","'"&amp;SUBSTITUTE(data!D28,"'","\'")&amp;"'"&amp;",")</f>
        <v>'Caribbean',</v>
      </c>
      <c r="J29" t="str">
        <f t="shared" si="5"/>
        <v>],</v>
      </c>
    </row>
    <row r="30" spans="1:10" x14ac:dyDescent="0.35">
      <c r="A30" t="str">
        <f>IF(OR(ISBLANK(data!A29),ISERR(data!A29),ISERROR(data!A29),ISNA(data!A29),data!A29="",ISBLANK(data!C29),ISERR(data!C29),ISERROR(data!C29),ISNA(data!C29),data!C29="",ISBLANK(data!D29),ISERR(data!D29),ISERROR(data!D29),ISNA(data!D29),data!D29=""),"","[")</f>
        <v>[</v>
      </c>
      <c r="B30" t="str">
        <f>IF(OR(ISBLANK(A30),ISERR(A30),ISERROR(A30),ISNA(A30),A30=""&amp;ISBLANK(data!A29),ISERR(data!A29),ISERROR(data!A29),ISNA(data!A29),data!A29=""),"","'"&amp;B$1&amp;"' =&gt; ")</f>
        <v xml:space="preserve">'id' =&gt; </v>
      </c>
      <c r="C30" t="str">
        <f>IF(OR(ISBLANK(B30),ISERR(B30),ISERROR(B30),ISNA(B30),B30=""),"",IF(ISTEXT(data!A29),"'"&amp;data!A29&amp;"'",data!A29)&amp;",")</f>
        <v>28,</v>
      </c>
      <c r="D30" t="str">
        <f t="shared" si="4"/>
        <v xml:space="preserve">'parent_id' =&gt; </v>
      </c>
      <c r="E30" t="str">
        <f>IF(OR(ISBLANK(D30),ISERR(D30),ISERROR(D30),ISNA(D30),D30=""),"",IF(OR(ISBLANK(data!B29),ISERR(data!B29),ISERROR(data!B29),ISNA(data!B29),data!B29=""),"NULL",IF(ISTEXT(data!B29),"'"&amp;data!B29&amp;"'",data!B29))&amp;",")</f>
        <v>8,</v>
      </c>
      <c r="F30" t="str">
        <f>IF(OR(ISBLANK(A30),ISERR(A30),ISERROR(A30),ISNA(A30),A30=""&amp;ISBLANK(data!C29),ISERR(data!C29),ISERROR(data!C29),ISNA(data!C29),data!C29=""),"","'"&amp;F$1&amp;"' =&gt; ")</f>
        <v xml:space="preserve">'un_code' =&gt; </v>
      </c>
      <c r="G30" t="str">
        <f>IF(OR(ISBLANK(F30),ISERR(F30),ISERROR(F30),ISNA(F30),F30=""),"",IF(ISTEXT(data!C29),"'"&amp;data!C29&amp;"'",data!C29)&amp;",")</f>
        <v>'013',</v>
      </c>
      <c r="H30" t="str">
        <f>IF(OR(ISBLANK(A30),ISERR(A30),ISERROR(A30),ISNA(A30),A30=""&amp;ISBLANK(data!D29),ISERR(data!D29),ISERROR(data!D29),ISNA(data!D29),data!D29=""),"","'"&amp;H$1&amp;"' =&gt; ")</f>
        <v xml:space="preserve">'name' =&gt; </v>
      </c>
      <c r="I30" t="str">
        <f>IF(OR(ISBLANK(H30),ISERR(H30),ISERROR(H30),ISNA(H30),H30=""),"","'"&amp;SUBSTITUTE(data!D29,"'","\'")&amp;"'"&amp;",")</f>
        <v>'Central America',</v>
      </c>
      <c r="J30" t="str">
        <f t="shared" si="5"/>
        <v>],</v>
      </c>
    </row>
    <row r="31" spans="1:10" x14ac:dyDescent="0.35">
      <c r="A31" t="str">
        <f>IF(OR(ISBLANK(data!A30),ISERR(data!A30),ISERROR(data!A30),ISNA(data!A30),data!A30="",ISBLANK(data!C30),ISERR(data!C30),ISERROR(data!C30),ISNA(data!C30),data!C30="",ISBLANK(data!D30),ISERR(data!D30),ISERROR(data!D30),ISNA(data!D30),data!D30=""),"","[")</f>
        <v>[</v>
      </c>
      <c r="B31" t="str">
        <f>IF(OR(ISBLANK(A31),ISERR(A31),ISERROR(A31),ISNA(A31),A31=""&amp;ISBLANK(data!A30),ISERR(data!A30),ISERROR(data!A30),ISNA(data!A30),data!A30=""),"","'"&amp;B$1&amp;"' =&gt; ")</f>
        <v xml:space="preserve">'id' =&gt; </v>
      </c>
      <c r="C31" t="str">
        <f>IF(OR(ISBLANK(B31),ISERR(B31),ISERROR(B31),ISNA(B31),B31=""),"",IF(ISTEXT(data!A30),"'"&amp;data!A30&amp;"'",data!A30)&amp;",")</f>
        <v>29,</v>
      </c>
      <c r="D31" t="str">
        <f t="shared" si="4"/>
        <v xml:space="preserve">'parent_id' =&gt; </v>
      </c>
      <c r="E31" t="str">
        <f>IF(OR(ISBLANK(D31),ISERR(D31),ISERROR(D31),ISNA(D31),D31=""),"",IF(OR(ISBLANK(data!B30),ISERR(data!B30),ISERROR(data!B30),ISNA(data!B30),data!B30=""),"NULL",IF(ISTEXT(data!B30),"'"&amp;data!B30&amp;"'",data!B30))&amp;",")</f>
        <v>8,</v>
      </c>
      <c r="F31" t="str">
        <f>IF(OR(ISBLANK(A31),ISERR(A31),ISERROR(A31),ISNA(A31),A31=""&amp;ISBLANK(data!C30),ISERR(data!C30),ISERROR(data!C30),ISNA(data!C30),data!C30=""),"","'"&amp;F$1&amp;"' =&gt; ")</f>
        <v xml:space="preserve">'un_code' =&gt; </v>
      </c>
      <c r="G31" t="str">
        <f>IF(OR(ISBLANK(F31),ISERR(F31),ISERROR(F31),ISNA(F31),F31=""),"",IF(ISTEXT(data!C30),"'"&amp;data!C30&amp;"'",data!C30)&amp;",")</f>
        <v>'005',</v>
      </c>
      <c r="H31" t="str">
        <f>IF(OR(ISBLANK(A31),ISERR(A31),ISERROR(A31),ISNA(A31),A31=""&amp;ISBLANK(data!D30),ISERR(data!D30),ISERROR(data!D30),ISNA(data!D30),data!D30=""),"","'"&amp;H$1&amp;"' =&gt; ")</f>
        <v xml:space="preserve">'name' =&gt; </v>
      </c>
      <c r="I31" t="str">
        <f>IF(OR(ISBLANK(H31),ISERR(H31),ISERROR(H31),ISNA(H31),H31=""),"","'"&amp;SUBSTITUTE(data!D30,"'","\'")&amp;"'"&amp;",")</f>
        <v>'South America',</v>
      </c>
      <c r="J31" t="str">
        <f t="shared" si="5"/>
        <v>],</v>
      </c>
    </row>
    <row r="32" spans="1:10" x14ac:dyDescent="0.35">
      <c r="A32" t="str">
        <f>IF(OR(ISBLANK(data!A31),ISERR(data!A31),ISERROR(data!A31),ISNA(data!A31),data!A31="",ISBLANK(data!C31),ISERR(data!C31),ISERROR(data!C31),ISNA(data!C31),data!C31="",ISBLANK(data!D31),ISERR(data!D31),ISERROR(data!D31),ISNA(data!D31),data!D31=""),"","[")</f>
        <v/>
      </c>
      <c r="B32" t="str">
        <f>IF(OR(ISBLANK(A32),ISERR(A32),ISERROR(A32),ISNA(A32),A32=""&amp;ISBLANK(data!A31),ISERR(data!A31),ISERROR(data!A31),ISNA(data!A31),data!A31=""),"","'"&amp;B$1&amp;"' =&gt; ")</f>
        <v/>
      </c>
      <c r="C32" t="str">
        <f>IF(OR(ISBLANK(B32),ISERR(B32),ISERROR(B32),ISNA(B32),B32=""),"",IF(ISTEXT(data!A31),"'"&amp;data!A31&amp;"'",data!A31)&amp;",")</f>
        <v/>
      </c>
      <c r="D32" t="str">
        <f t="shared" si="4"/>
        <v/>
      </c>
      <c r="E32" t="str">
        <f>IF(OR(ISBLANK(D32),ISERR(D32),ISERROR(D32),ISNA(D32),D32=""),"",IF(OR(ISBLANK(data!B31),ISERR(data!B31),ISERROR(data!B31),ISNA(data!B31),data!B31=""),"NULL",IF(ISTEXT(data!B31),"'"&amp;data!B31&amp;"'",data!B31))&amp;",")</f>
        <v/>
      </c>
      <c r="F32" t="str">
        <f>IF(OR(ISBLANK(A32),ISERR(A32),ISERROR(A32),ISNA(A32),A32=""&amp;ISBLANK(data!C31),ISERR(data!C31),ISERROR(data!C31),ISNA(data!C31),data!C31=""),"","'"&amp;F$1&amp;"' =&gt; ")</f>
        <v/>
      </c>
      <c r="G32" t="str">
        <f>IF(OR(ISBLANK(F32),ISERR(F32),ISERROR(F32),ISNA(F32),F32=""),"",IF(ISTEXT(data!C31),"'"&amp;data!C31&amp;"'",data!C31)&amp;",")</f>
        <v/>
      </c>
      <c r="H32" t="str">
        <f>IF(OR(ISBLANK(A32),ISERR(A32),ISERROR(A32),ISNA(A32),A32=""&amp;ISBLANK(data!D31),ISERR(data!D31),ISERROR(data!D31),ISNA(data!D31),data!D31=""),"","'"&amp;H$1&amp;"' =&gt; ")</f>
        <v/>
      </c>
      <c r="I32" t="str">
        <f>IF(OR(ISBLANK(H32),ISERR(H32),ISERROR(H32),ISNA(H32),H32=""),"","'"&amp;SUBSTITUTE(data!D31,"'","\'")&amp;"'"&amp;",")</f>
        <v/>
      </c>
      <c r="J32" t="str">
        <f t="shared" si="5"/>
        <v/>
      </c>
    </row>
    <row r="33" spans="1:10" x14ac:dyDescent="0.35">
      <c r="A33" t="str">
        <f>IF(OR(ISBLANK(data!A32),ISERR(data!A32),ISERROR(data!A32),ISNA(data!A32),data!A32="",ISBLANK(data!C32),ISERR(data!C32),ISERROR(data!C32),ISNA(data!C32),data!C32="",ISBLANK(data!D32),ISERR(data!D32),ISERROR(data!D32),ISNA(data!D32),data!D32=""),"","[")</f>
        <v/>
      </c>
      <c r="B33" t="str">
        <f>IF(OR(ISBLANK(A33),ISERR(A33),ISERROR(A33),ISNA(A33),A33=""&amp;ISBLANK(data!A32),ISERR(data!A32),ISERROR(data!A32),ISNA(data!A32),data!A32=""),"","'"&amp;B$1&amp;"' =&gt; ")</f>
        <v/>
      </c>
      <c r="C33" t="str">
        <f>IF(OR(ISBLANK(B33),ISERR(B33),ISERROR(B33),ISNA(B33),B33=""),"",IF(ISTEXT(data!A32),"'"&amp;data!A32&amp;"'",data!A32)&amp;",")</f>
        <v/>
      </c>
      <c r="D33" t="str">
        <f t="shared" si="4"/>
        <v/>
      </c>
      <c r="E33" t="str">
        <f>IF(OR(ISBLANK(D33),ISERR(D33),ISERROR(D33),ISNA(D33),D33=""),"",IF(OR(ISBLANK(data!B32),ISERR(data!B32),ISERROR(data!B32),ISNA(data!B32),data!B32=""),"NULL",IF(ISTEXT(data!B32),"'"&amp;data!B32&amp;"'",data!B32))&amp;",")</f>
        <v/>
      </c>
      <c r="F33" t="str">
        <f>IF(OR(ISBLANK(A33),ISERR(A33),ISERROR(A33),ISNA(A33),A33=""&amp;ISBLANK(data!C32),ISERR(data!C32),ISERROR(data!C32),ISNA(data!C32),data!C32=""),"","'"&amp;F$1&amp;"' =&gt; ")</f>
        <v/>
      </c>
      <c r="G33" t="str">
        <f>IF(OR(ISBLANK(F33),ISERR(F33),ISERROR(F33),ISNA(F33),F33=""),"",IF(ISTEXT(data!C32),"'"&amp;data!C32&amp;"'",data!C32)&amp;",")</f>
        <v/>
      </c>
      <c r="H33" t="str">
        <f>IF(OR(ISBLANK(A33),ISERR(A33),ISERROR(A33),ISNA(A33),A33=""&amp;ISBLANK(data!D32),ISERR(data!D32),ISERROR(data!D32),ISNA(data!D32),data!D32=""),"","'"&amp;H$1&amp;"' =&gt; ")</f>
        <v/>
      </c>
      <c r="I33" t="str">
        <f>IF(OR(ISBLANK(H33),ISERR(H33),ISERROR(H33),ISNA(H33),H33=""),"","'"&amp;SUBSTITUTE(data!D32,"'","\'")&amp;"'"&amp;",")</f>
        <v/>
      </c>
      <c r="J33" t="str">
        <f t="shared" si="5"/>
        <v/>
      </c>
    </row>
    <row r="34" spans="1:10" x14ac:dyDescent="0.35">
      <c r="A34" t="str">
        <f>IF(OR(ISBLANK(data!A33),ISERR(data!A33),ISERROR(data!A33),ISNA(data!A33),data!A33="",ISBLANK(data!C33),ISERR(data!C33),ISERROR(data!C33),ISNA(data!C33),data!C33="",ISBLANK(data!D33),ISERR(data!D33),ISERROR(data!D33),ISNA(data!D33),data!D33=""),"","[")</f>
        <v/>
      </c>
      <c r="B34" t="str">
        <f>IF(OR(ISBLANK(A34),ISERR(A34),ISERROR(A34),ISNA(A34),A34=""&amp;ISBLANK(data!A33),ISERR(data!A33),ISERROR(data!A33),ISNA(data!A33),data!A33=""),"","'"&amp;B$1&amp;"' =&gt; ")</f>
        <v/>
      </c>
      <c r="C34" t="str">
        <f>IF(OR(ISBLANK(B34),ISERR(B34),ISERROR(B34),ISNA(B34),B34=""),"",IF(ISTEXT(data!A33),"'"&amp;data!A33&amp;"'",data!A33)&amp;",")</f>
        <v/>
      </c>
      <c r="D34" t="str">
        <f t="shared" si="4"/>
        <v/>
      </c>
      <c r="E34" t="str">
        <f>IF(OR(ISBLANK(D34),ISERR(D34),ISERROR(D34),ISNA(D34),D34=""),"",IF(OR(ISBLANK(data!B33),ISERR(data!B33),ISERROR(data!B33),ISNA(data!B33),data!B33=""),"NULL",IF(ISTEXT(data!B33),"'"&amp;data!B33&amp;"'",data!B33))&amp;",")</f>
        <v/>
      </c>
      <c r="F34" t="str">
        <f>IF(OR(ISBLANK(A34),ISERR(A34),ISERROR(A34),ISNA(A34),A34=""&amp;ISBLANK(data!C33),ISERR(data!C33),ISERROR(data!C33),ISNA(data!C33),data!C33=""),"","'"&amp;F$1&amp;"' =&gt; ")</f>
        <v/>
      </c>
      <c r="G34" t="str">
        <f>IF(OR(ISBLANK(F34),ISERR(F34),ISERROR(F34),ISNA(F34),F34=""),"",IF(ISTEXT(data!C33),"'"&amp;data!C33&amp;"'",data!C33)&amp;",")</f>
        <v/>
      </c>
      <c r="H34" t="str">
        <f>IF(OR(ISBLANK(A34),ISERR(A34),ISERROR(A34),ISNA(A34),A34=""&amp;ISBLANK(data!D33),ISERR(data!D33),ISERROR(data!D33),ISNA(data!D33),data!D33=""),"","'"&amp;H$1&amp;"' =&gt; ")</f>
        <v/>
      </c>
      <c r="I34" t="str">
        <f>IF(OR(ISBLANK(H34),ISERR(H34),ISERROR(H34),ISNA(H34),H34=""),"","'"&amp;SUBSTITUTE(data!D33,"'","\'")&amp;"'"&amp;",")</f>
        <v/>
      </c>
      <c r="J34" t="str">
        <f t="shared" si="5"/>
        <v/>
      </c>
    </row>
  </sheetData>
  <mergeCells count="6">
    <mergeCell ref="J1:J2"/>
    <mergeCell ref="A1:A2"/>
    <mergeCell ref="B1:C1"/>
    <mergeCell ref="F1:G1"/>
    <mergeCell ref="H1:I1"/>
    <mergeCell ref="D1:E1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array.php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Regions</dc:title>
  <dc:creator>Dyo Wiranata Mulya</dc:creator>
  <cp:keywords>adm,dyonmulya</cp:keywords>
  <cp:lastModifiedBy>Dyo Wiranata Mulya</cp:lastModifiedBy>
  <dcterms:created xsi:type="dcterms:W3CDTF">2015-06-05T18:17:20Z</dcterms:created>
  <dcterms:modified xsi:type="dcterms:W3CDTF">2025-11-16T06:17:47Z</dcterms:modified>
  <cp:category>administrative</cp:category>
</cp:coreProperties>
</file>