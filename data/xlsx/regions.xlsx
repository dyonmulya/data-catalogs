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yo Wiranata Mulya\Documents\GitHub\@dyonmulya\resources\data\xlsx\"/>
    </mc:Choice>
  </mc:AlternateContent>
  <xr:revisionPtr revIDLastSave="0" documentId="13_ncr:1_{EACF9170-A2A0-499F-A3EB-3947A1B1A3C9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data" sheetId="1" r:id="rId1"/>
    <sheet name="array.php" sheetId="2" r:id="rId2"/>
  </sheets>
  <definedNames>
    <definedName name="_xlnm._FilterDatabase" localSheetId="1" hidden="1">array.php!#REF!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" l="1"/>
  <c r="B4" i="2" s="1"/>
  <c r="C4" i="2" s="1"/>
  <c r="F4" i="2"/>
  <c r="G4" i="2" s="1"/>
  <c r="H4" i="2"/>
  <c r="I4" i="2" s="1"/>
  <c r="J4" i="2"/>
  <c r="A5" i="2"/>
  <c r="D5" i="2" s="1"/>
  <c r="E5" i="2" s="1"/>
  <c r="B5" i="2"/>
  <c r="C5" i="2" s="1"/>
  <c r="H5" i="2"/>
  <c r="I5" i="2"/>
  <c r="J5" i="2"/>
  <c r="A6" i="2"/>
  <c r="F6" i="2" s="1"/>
  <c r="G6" i="2" s="1"/>
  <c r="A7" i="2"/>
  <c r="H7" i="2" s="1"/>
  <c r="I7" i="2" s="1"/>
  <c r="B7" i="2"/>
  <c r="C7" i="2"/>
  <c r="D7" i="2"/>
  <c r="E7" i="2" s="1"/>
  <c r="A8" i="2"/>
  <c r="J8" i="2" s="1"/>
  <c r="B8" i="2"/>
  <c r="C8" i="2"/>
  <c r="D8" i="2"/>
  <c r="E8" i="2"/>
  <c r="F8" i="2"/>
  <c r="G8" i="2" s="1"/>
  <c r="H8" i="2"/>
  <c r="I8" i="2" s="1"/>
  <c r="A9" i="2"/>
  <c r="B9" i="2" s="1"/>
  <c r="C9" i="2" s="1"/>
  <c r="D9" i="2"/>
  <c r="E9" i="2"/>
  <c r="F9" i="2"/>
  <c r="G9" i="2"/>
  <c r="H9" i="2"/>
  <c r="I9" i="2" s="1"/>
  <c r="J9" i="2"/>
  <c r="A10" i="2"/>
  <c r="B10" i="2" s="1"/>
  <c r="C10" i="2" s="1"/>
  <c r="F10" i="2"/>
  <c r="G10" i="2"/>
  <c r="H10" i="2"/>
  <c r="I10" i="2" s="1"/>
  <c r="J10" i="2"/>
  <c r="A11" i="2"/>
  <c r="D11" i="2" s="1"/>
  <c r="E11" i="2" s="1"/>
  <c r="B11" i="2"/>
  <c r="C11" i="2" s="1"/>
  <c r="H11" i="2"/>
  <c r="I11" i="2"/>
  <c r="J11" i="2"/>
  <c r="H3" i="2"/>
  <c r="I3" i="2" s="1"/>
  <c r="F3" i="2"/>
  <c r="G3" i="2" s="1"/>
  <c r="J3" i="2"/>
  <c r="B3" i="2"/>
  <c r="C3" i="2" s="1"/>
  <c r="E3" i="2"/>
  <c r="F1" i="2"/>
  <c r="D1" i="2"/>
  <c r="B1" i="2"/>
  <c r="D3" i="2"/>
  <c r="A3" i="2"/>
  <c r="B6" i="1"/>
  <c r="B5" i="1"/>
  <c r="B4" i="1"/>
  <c r="B2" i="1"/>
  <c r="B3" i="1"/>
  <c r="F7" i="2" l="1"/>
  <c r="G7" i="2" s="1"/>
  <c r="D6" i="2"/>
  <c r="E6" i="2" s="1"/>
  <c r="B6" i="2"/>
  <c r="C6" i="2" s="1"/>
  <c r="J6" i="2"/>
  <c r="F11" i="2"/>
  <c r="G11" i="2" s="1"/>
  <c r="D10" i="2"/>
  <c r="E10" i="2" s="1"/>
  <c r="J7" i="2"/>
  <c r="H6" i="2"/>
  <c r="I6" i="2" s="1"/>
  <c r="F5" i="2"/>
  <c r="G5" i="2" s="1"/>
  <c r="D4" i="2"/>
  <c r="E4" i="2" s="1"/>
</calcChain>
</file>

<file path=xl/sharedStrings.xml><?xml version="1.0" encoding="utf-8"?>
<sst xmlns="http://schemas.openxmlformats.org/spreadsheetml/2006/main" count="25" uniqueCount="18">
  <si>
    <t>id</t>
  </si>
  <si>
    <t>name</t>
  </si>
  <si>
    <t>Asia</t>
  </si>
  <si>
    <t>Europe</t>
  </si>
  <si>
    <t>Africa</t>
  </si>
  <si>
    <t>Oceania</t>
  </si>
  <si>
    <t>Americas</t>
  </si>
  <si>
    <t>demonym</t>
  </si>
  <si>
    <t>American</t>
  </si>
  <si>
    <t>African</t>
  </si>
  <si>
    <t>Asian</t>
  </si>
  <si>
    <t>Oceanian</t>
  </si>
  <si>
    <t>un_code</t>
  </si>
  <si>
    <t>European</t>
  </si>
  <si>
    <t>[</t>
  </si>
  <si>
    <t>key</t>
  </si>
  <si>
    <t>value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</si>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</sst>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D4" sqref="D4"/>
    </sheetView>
  </sheetViews>
  <sheetFormatPr defaultRowHeight="14.5" x14ac:dyDescent="0.35"/>
  <cols>
    <col min="1" max="1" width="2.54296875" bestFit="1" customWidth="1"/>
    <col min="2" max="2" width="8.6328125" bestFit="1" customWidth="1"/>
    <col min="3" max="3" width="8.453125" bestFit="1" customWidth="1"/>
    <col min="4" max="4" width="10.08984375" bestFit="1" customWidth="1"/>
  </cols>
  <sheetData>
    <row r="1" spans="1:4" ht="15.5" x14ac:dyDescent="0.35">
      <c r="A1" s="6" t="s">
        <v>0</v>
      </c>
      <c r="B1" s="6" t="s">
        <v>12</v>
      </c>
      <c r="C1" s="6" t="s">
        <v>1</v>
      </c>
      <c r="D1" s="6" t="s">
        <v>7</v>
      </c>
    </row>
    <row r="2" spans="1:4" x14ac:dyDescent="0.35">
      <c r="A2">
        <v>1</v>
      </c>
      <c r="B2" t="str">
        <f>"002"</f>
        <v>002</v>
      </c>
      <c r="C2" t="s">
        <v>4</v>
      </c>
      <c r="D2" t="s">
        <v>9</v>
      </c>
    </row>
    <row r="3" spans="1:4" x14ac:dyDescent="0.35">
      <c r="A3">
        <v>2</v>
      </c>
      <c r="B3" t="str">
        <f>"019"</f>
        <v>019</v>
      </c>
      <c r="C3" t="s">
        <v>6</v>
      </c>
      <c r="D3" t="s">
        <v>8</v>
      </c>
    </row>
    <row r="4" spans="1:4" x14ac:dyDescent="0.35">
      <c r="A4">
        <v>3</v>
      </c>
      <c r="B4" t="str">
        <f>"142"</f>
        <v>142</v>
      </c>
      <c r="C4" t="s">
        <v>2</v>
      </c>
      <c r="D4" t="s">
        <v>10</v>
      </c>
    </row>
    <row r="5" spans="1:4" x14ac:dyDescent="0.35">
      <c r="A5">
        <v>4</v>
      </c>
      <c r="B5" t="str">
        <f>"150"</f>
        <v>150</v>
      </c>
      <c r="C5" t="s">
        <v>3</v>
      </c>
      <c r="D5" t="s">
        <v>13</v>
      </c>
    </row>
    <row r="6" spans="1:4" x14ac:dyDescent="0.35">
      <c r="A6">
        <v>5</v>
      </c>
      <c r="B6" t="str">
        <f>"009"</f>
        <v>009</v>
      </c>
      <c r="C6" t="s">
        <v>5</v>
      </c>
      <c r="D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0700-1192-4653-939D-183A6469A2C8}">
  <dimension ref="A1:J11"/>
  <sheetViews>
    <sheetView tabSelected="1" workbookViewId="0">
      <selection activeCell="E3" sqref="E3"/>
    </sheetView>
  </sheetViews>
  <sheetFormatPr defaultRowHeight="14.5" x14ac:dyDescent="0.35"/>
  <cols>
    <col min="1" max="1" width="1.453125" bestFit="1" customWidth="1"/>
    <col min="2" max="2" width="6.1796875" bestFit="1" customWidth="1"/>
    <col min="3" max="3" width="5.36328125" bestFit="1" customWidth="1"/>
    <col min="4" max="4" width="11.81640625" bestFit="1" customWidth="1"/>
    <col min="5" max="5" width="5.36328125" bestFit="1" customWidth="1"/>
    <col min="6" max="6" width="9.36328125" bestFit="1" customWidth="1"/>
    <col min="7" max="7" width="9.81640625" bestFit="1" customWidth="1"/>
    <col min="8" max="8" width="13.1796875" bestFit="1" customWidth="1"/>
    <col min="9" max="9" width="10.26953125" bestFit="1" customWidth="1"/>
    <col min="10" max="10" width="1.90625" bestFit="1" customWidth="1"/>
  </cols>
  <sheetData>
    <row r="1" spans="1:10" s="1" customFormat="1" ht="15.5" x14ac:dyDescent="0.35">
      <c r="A1" s="3" t="s">
        <v>14</v>
      </c>
      <c r="B1" s="4" t="str">
        <f>data!A1</f>
        <v>id</v>
      </c>
      <c r="C1" s="4"/>
      <c r="D1" s="4" t="str">
        <f>data!B1</f>
        <v>un_code</v>
      </c>
      <c r="E1" s="4"/>
      <c r="F1" s="4" t="str">
        <f>data!C1</f>
        <v>name</v>
      </c>
      <c r="G1" s="4"/>
      <c r="H1" s="4" t="s">
        <v>7</v>
      </c>
      <c r="I1" s="4"/>
      <c r="J1" s="3" t="s">
        <v>17</v>
      </c>
    </row>
    <row r="2" spans="1:10" s="2" customFormat="1" ht="13" x14ac:dyDescent="0.35">
      <c r="A2" s="3"/>
      <c r="B2" s="5" t="s">
        <v>15</v>
      </c>
      <c r="C2" s="5" t="s">
        <v>16</v>
      </c>
      <c r="D2" s="5" t="s">
        <v>15</v>
      </c>
      <c r="E2" s="5" t="s">
        <v>16</v>
      </c>
      <c r="F2" s="5" t="s">
        <v>15</v>
      </c>
      <c r="G2" s="5" t="s">
        <v>16</v>
      </c>
      <c r="H2" s="5" t="s">
        <v>15</v>
      </c>
      <c r="I2" s="5" t="s">
        <v>16</v>
      </c>
      <c r="J2" s="3"/>
    </row>
    <row r="3" spans="1:10" x14ac:dyDescent="0.35">
      <c r="A3" t="str">
        <f>IF(OR(ISBLANK(data!A2),ISERR(data!A2),ISERROR(data!A2),ISNA(data!A2),data!A2="",ISBLANK(data!B2),ISERR(data!B2),ISERROR(data!B2),ISNA(data!B2),data!B2="",ISBLANK(data!C2),ISERR(data!C2),ISERROR(data!C2),ISNA(data!C2),data!C2=""),"","[")</f>
        <v>[</v>
      </c>
      <c r="B3" t="str">
        <f>IF(OR(ISBLANK(A3),ISERR(A3),ISERROR(A3),ISNA(A3),A3=""&amp;ISBLANK(data!A2),ISERR(data!A2),ISERROR(data!A2),ISNA(data!A2),data!A2=""),"","'"&amp;B$1&amp;"' =&gt; ")</f>
        <v xml:space="preserve">'id' =&gt; </v>
      </c>
      <c r="C3" t="str">
        <f>IF(OR(ISBLANK(B3),ISERR(B3),ISERROR(B3),ISNA(B3),B3=""),"",IF(ISTEXT(data!A2),"'"&amp;data!A2&amp;"'",data!A2)&amp;",")</f>
        <v>1,</v>
      </c>
      <c r="D3" t="str">
        <f>IF(OR(ISBLANK(A3),ISERR(A3),ISERROR(A3),ISNA(A3),A3=""&amp;ISBLANK(data!B2),ISERR(data!B2),ISERROR(data!B2),ISNA(data!B2),data!B2=""),"","'"&amp;D$1&amp;"' =&gt; ")</f>
        <v xml:space="preserve">'un_code' =&gt; </v>
      </c>
      <c r="E3" t="str">
        <f>IF(OR(ISBLANK(D3),ISERR(D3),ISERROR(D3),ISNA(D3),D3=""),"",IF(ISTEXT(data!B2),"'"&amp;data!B2&amp;"'",data!B2)&amp;",")</f>
        <v>'002',</v>
      </c>
      <c r="F3" t="str">
        <f>IF(OR(ISBLANK(A3),ISERR(A3),ISERROR(A3),ISNA(A3),A3=""&amp;ISBLANK(data!C2),ISERR(data!C2),ISERROR(data!C2),ISNA(data!C2),data!C2=""),"","'"&amp;F$1&amp;"' =&gt; ")</f>
        <v xml:space="preserve">'name' =&gt; </v>
      </c>
      <c r="G3" t="str">
        <f>IF(OR(ISBLANK(F3),ISERR(F3),ISERROR(F3),ISNA(F3),F3=""),"","'"&amp;SUBSTITUTE(data!C2,"'","\'")&amp;"'"&amp;",")</f>
        <v>'Africa',</v>
      </c>
      <c r="H3" t="str">
        <f>IF(OR(ISBLANK(A3),ISERR(A3),ISERROR(A3),ISNA(A3),A3=""&amp;ISBLANK(data!D2),ISERR(data!D2),ISERROR(data!D2),ISNA(data!D2),data!D2=""),"","'"&amp;H$1&amp;"' =&gt; ")</f>
        <v xml:space="preserve">'demonym' =&gt; </v>
      </c>
      <c r="I3" t="str">
        <f>IF(OR(ISBLANK(H3),ISERR(H3),ISERROR(H3),ISNA(H3),H3=""),"","'"&amp;SUBSTITUTE(data!D2,"'","\'")&amp;"'"&amp;",")</f>
        <v>'African',</v>
      </c>
      <c r="J3" t="str">
        <f>IF(OR(ISBLANK(A3),ISERR(A3),ISERROR(A3),ISNA(A3),A3=""),"","],")</f>
        <v>],</v>
      </c>
    </row>
    <row r="4" spans="1:10" x14ac:dyDescent="0.35">
      <c r="A4" t="str">
        <f>IF(OR(ISBLANK(data!A3),ISERR(data!A3),ISERROR(data!A3),ISNA(data!A3),data!A3="",ISBLANK(data!B3),ISERR(data!B3),ISERROR(data!B3),ISNA(data!B3),data!B3="",ISBLANK(data!C3),ISERR(data!C3),ISERROR(data!C3),ISNA(data!C3),data!C3=""),"","[")</f>
        <v>[</v>
      </c>
      <c r="B4" t="str">
        <f>IF(OR(ISBLANK(A4),ISERR(A4),ISERROR(A4),ISNA(A4),A4=""&amp;ISBLANK(data!A3),ISERR(data!A3),ISERROR(data!A3),ISNA(data!A3),data!A3=""),"","'"&amp;B$1&amp;"' =&gt; ")</f>
        <v xml:space="preserve">'id' =&gt; </v>
      </c>
      <c r="C4" t="str">
        <f>IF(OR(ISBLANK(B4),ISERR(B4),ISERROR(B4),ISNA(B4),B4=""),"",IF(ISTEXT(data!A3),"'"&amp;data!A3&amp;"'",data!A3)&amp;",")</f>
        <v>2,</v>
      </c>
      <c r="D4" t="str">
        <f>IF(OR(ISBLANK(A4),ISERR(A4),ISERROR(A4),ISNA(A4),A4=""&amp;ISBLANK(data!B3),ISERR(data!B3),ISERROR(data!B3),ISNA(data!B3),data!B3=""),"","'"&amp;D$1&amp;"' =&gt; ")</f>
        <v xml:space="preserve">'un_code' =&gt; </v>
      </c>
      <c r="E4" t="str">
        <f>IF(OR(ISBLANK(D4),ISERR(D4),ISERROR(D4),ISNA(D4),D4=""),"",IF(ISTEXT(data!B3),"'"&amp;data!B3&amp;"'",data!B3)&amp;",")</f>
        <v>'019',</v>
      </c>
      <c r="F4" t="str">
        <f>IF(OR(ISBLANK(A4),ISERR(A4),ISERROR(A4),ISNA(A4),A4=""&amp;ISBLANK(data!C3),ISERR(data!C3),ISERROR(data!C3),ISNA(data!C3),data!C3=""),"","'"&amp;F$1&amp;"' =&gt; ")</f>
        <v xml:space="preserve">'name' =&gt; </v>
      </c>
      <c r="G4" t="str">
        <f>IF(OR(ISBLANK(F4),ISERR(F4),ISERROR(F4),ISNA(F4),F4=""),"","'"&amp;SUBSTITUTE(data!C3,"'","\'")&amp;"'"&amp;",")</f>
        <v>'Americas',</v>
      </c>
      <c r="H4" t="str">
        <f>IF(OR(ISBLANK(A4),ISERR(A4),ISERROR(A4),ISNA(A4),A4=""&amp;ISBLANK(data!D3),ISERR(data!D3),ISERROR(data!D3),ISNA(data!D3),data!D3=""),"","'"&amp;H$1&amp;"' =&gt; ")</f>
        <v xml:space="preserve">'demonym' =&gt; </v>
      </c>
      <c r="I4" t="str">
        <f>IF(OR(ISBLANK(H4),ISERR(H4),ISERROR(H4),ISNA(H4),H4=""),"","'"&amp;SUBSTITUTE(data!D3,"'","\'")&amp;"'"&amp;",")</f>
        <v>'American',</v>
      </c>
      <c r="J4" t="str">
        <f t="shared" ref="J4:J11" si="0">IF(OR(ISBLANK(A4),ISERR(A4),ISERROR(A4),ISNA(A4),A4=""),"","],")</f>
        <v>],</v>
      </c>
    </row>
    <row r="5" spans="1:10" x14ac:dyDescent="0.35">
      <c r="A5" t="str">
        <f>IF(OR(ISBLANK(data!A4),ISERR(data!A4),ISERROR(data!A4),ISNA(data!A4),data!A4="",ISBLANK(data!B4),ISERR(data!B4),ISERROR(data!B4),ISNA(data!B4),data!B4="",ISBLANK(data!C4),ISERR(data!C4),ISERROR(data!C4),ISNA(data!C4),data!C4=""),"","[")</f>
        <v>[</v>
      </c>
      <c r="B5" t="str">
        <f>IF(OR(ISBLANK(A5),ISERR(A5),ISERROR(A5),ISNA(A5),A5=""&amp;ISBLANK(data!A4),ISERR(data!A4),ISERROR(data!A4),ISNA(data!A4),data!A4=""),"","'"&amp;B$1&amp;"' =&gt; ")</f>
        <v xml:space="preserve">'id' =&gt; </v>
      </c>
      <c r="C5" t="str">
        <f>IF(OR(ISBLANK(B5),ISERR(B5),ISERROR(B5),ISNA(B5),B5=""),"",IF(ISTEXT(data!A4),"'"&amp;data!A4&amp;"'",data!A4)&amp;",")</f>
        <v>3,</v>
      </c>
      <c r="D5" t="str">
        <f>IF(OR(ISBLANK(A5),ISERR(A5),ISERROR(A5),ISNA(A5),A5=""&amp;ISBLANK(data!B4),ISERR(data!B4),ISERROR(data!B4),ISNA(data!B4),data!B4=""),"","'"&amp;D$1&amp;"' =&gt; ")</f>
        <v xml:space="preserve">'un_code' =&gt; </v>
      </c>
      <c r="E5" t="str">
        <f>IF(OR(ISBLANK(D5),ISERR(D5),ISERROR(D5),ISNA(D5),D5=""),"",IF(ISTEXT(data!B4),"'"&amp;data!B4&amp;"'",data!B4)&amp;",")</f>
        <v>'142',</v>
      </c>
      <c r="F5" t="str">
        <f>IF(OR(ISBLANK(A5),ISERR(A5),ISERROR(A5),ISNA(A5),A5=""&amp;ISBLANK(data!C4),ISERR(data!C4),ISERROR(data!C4),ISNA(data!C4),data!C4=""),"","'"&amp;F$1&amp;"' =&gt; ")</f>
        <v xml:space="preserve">'name' =&gt; </v>
      </c>
      <c r="G5" t="str">
        <f>IF(OR(ISBLANK(F5),ISERR(F5),ISERROR(F5),ISNA(F5),F5=""),"","'"&amp;SUBSTITUTE(data!C4,"'","\'")&amp;"'"&amp;",")</f>
        <v>'Asia',</v>
      </c>
      <c r="H5" t="str">
        <f>IF(OR(ISBLANK(A5),ISERR(A5),ISERROR(A5),ISNA(A5),A5=""&amp;ISBLANK(data!D4),ISERR(data!D4),ISERROR(data!D4),ISNA(data!D4),data!D4=""),"","'"&amp;H$1&amp;"' =&gt; ")</f>
        <v xml:space="preserve">'demonym' =&gt; </v>
      </c>
      <c r="I5" t="str">
        <f>IF(OR(ISBLANK(H5),ISERR(H5),ISERROR(H5),ISNA(H5),H5=""),"","'"&amp;SUBSTITUTE(data!D4,"'","\'")&amp;"'"&amp;",")</f>
        <v>'Asian',</v>
      </c>
      <c r="J5" t="str">
        <f t="shared" si="0"/>
        <v>],</v>
      </c>
    </row>
    <row r="6" spans="1:10" x14ac:dyDescent="0.35">
      <c r="A6" t="str">
        <f>IF(OR(ISBLANK(data!A5),ISERR(data!A5),ISERROR(data!A5),ISNA(data!A5),data!A5="",ISBLANK(data!B5),ISERR(data!B5),ISERROR(data!B5),ISNA(data!B5),data!B5="",ISBLANK(data!C5),ISERR(data!C5),ISERROR(data!C5),ISNA(data!C5),data!C5=""),"","[")</f>
        <v>[</v>
      </c>
      <c r="B6" t="str">
        <f>IF(OR(ISBLANK(A6),ISERR(A6),ISERROR(A6),ISNA(A6),A6=""&amp;ISBLANK(data!A5),ISERR(data!A5),ISERROR(data!A5),ISNA(data!A5),data!A5=""),"","'"&amp;B$1&amp;"' =&gt; ")</f>
        <v xml:space="preserve">'id' =&gt; </v>
      </c>
      <c r="C6" t="str">
        <f>IF(OR(ISBLANK(B6),ISERR(B6),ISERROR(B6),ISNA(B6),B6=""),"",IF(ISTEXT(data!A5),"'"&amp;data!A5&amp;"'",data!A5)&amp;",")</f>
        <v>4,</v>
      </c>
      <c r="D6" t="str">
        <f>IF(OR(ISBLANK(A6),ISERR(A6),ISERROR(A6),ISNA(A6),A6=""&amp;ISBLANK(data!B5),ISERR(data!B5),ISERROR(data!B5),ISNA(data!B5),data!B5=""),"","'"&amp;D$1&amp;"' =&gt; ")</f>
        <v xml:space="preserve">'un_code' =&gt; </v>
      </c>
      <c r="E6" t="str">
        <f>IF(OR(ISBLANK(D6),ISERR(D6),ISERROR(D6),ISNA(D6),D6=""),"",IF(ISTEXT(data!B5),"'"&amp;data!B5&amp;"'",data!B5)&amp;",")</f>
        <v>'150',</v>
      </c>
      <c r="F6" t="str">
        <f>IF(OR(ISBLANK(A6),ISERR(A6),ISERROR(A6),ISNA(A6),A6=""&amp;ISBLANK(data!C5),ISERR(data!C5),ISERROR(data!C5),ISNA(data!C5),data!C5=""),"","'"&amp;F$1&amp;"' =&gt; ")</f>
        <v xml:space="preserve">'name' =&gt; </v>
      </c>
      <c r="G6" t="str">
        <f>IF(OR(ISBLANK(F6),ISERR(F6),ISERROR(F6),ISNA(F6),F6=""),"","'"&amp;SUBSTITUTE(data!C5,"'","\'")&amp;"'"&amp;",")</f>
        <v>'Europe',</v>
      </c>
      <c r="H6" t="str">
        <f>IF(OR(ISBLANK(A6),ISERR(A6),ISERROR(A6),ISNA(A6),A6=""&amp;ISBLANK(data!D5),ISERR(data!D5),ISERROR(data!D5),ISNA(data!D5),data!D5=""),"","'"&amp;H$1&amp;"' =&gt; ")</f>
        <v xml:space="preserve">'demonym' =&gt; </v>
      </c>
      <c r="I6" t="str">
        <f>IF(OR(ISBLANK(H6),ISERR(H6),ISERROR(H6),ISNA(H6),H6=""),"","'"&amp;SUBSTITUTE(data!D5,"'","\'")&amp;"'"&amp;",")</f>
        <v>'European',</v>
      </c>
      <c r="J6" t="str">
        <f t="shared" si="0"/>
        <v>],</v>
      </c>
    </row>
    <row r="7" spans="1:10" x14ac:dyDescent="0.35">
      <c r="A7" t="str">
        <f>IF(OR(ISBLANK(data!A6),ISERR(data!A6),ISERROR(data!A6),ISNA(data!A6),data!A6="",ISBLANK(data!B6),ISERR(data!B6),ISERROR(data!B6),ISNA(data!B6),data!B6="",ISBLANK(data!C6),ISERR(data!C6),ISERROR(data!C6),ISNA(data!C6),data!C6=""),"","[")</f>
        <v>[</v>
      </c>
      <c r="B7" t="str">
        <f>IF(OR(ISBLANK(A7),ISERR(A7),ISERROR(A7),ISNA(A7),A7=""&amp;ISBLANK(data!A6),ISERR(data!A6),ISERROR(data!A6),ISNA(data!A6),data!A6=""),"","'"&amp;B$1&amp;"' =&gt; ")</f>
        <v xml:space="preserve">'id' =&gt; </v>
      </c>
      <c r="C7" t="str">
        <f>IF(OR(ISBLANK(B7),ISERR(B7),ISERROR(B7),ISNA(B7),B7=""),"",IF(ISTEXT(data!A6),"'"&amp;data!A6&amp;"'",data!A6)&amp;",")</f>
        <v>5,</v>
      </c>
      <c r="D7" t="str">
        <f>IF(OR(ISBLANK(A7),ISERR(A7),ISERROR(A7),ISNA(A7),A7=""&amp;ISBLANK(data!B6),ISERR(data!B6),ISERROR(data!B6),ISNA(data!B6),data!B6=""),"","'"&amp;D$1&amp;"' =&gt; ")</f>
        <v xml:space="preserve">'un_code' =&gt; </v>
      </c>
      <c r="E7" t="str">
        <f>IF(OR(ISBLANK(D7),ISERR(D7),ISERROR(D7),ISNA(D7),D7=""),"",IF(ISTEXT(data!B6),"'"&amp;data!B6&amp;"'",data!B6)&amp;",")</f>
        <v>'009',</v>
      </c>
      <c r="F7" t="str">
        <f>IF(OR(ISBLANK(A7),ISERR(A7),ISERROR(A7),ISNA(A7),A7=""&amp;ISBLANK(data!C6),ISERR(data!C6),ISERROR(data!C6),ISNA(data!C6),data!C6=""),"","'"&amp;F$1&amp;"' =&gt; ")</f>
        <v xml:space="preserve">'name' =&gt; </v>
      </c>
      <c r="G7" t="str">
        <f>IF(OR(ISBLANK(F7),ISERR(F7),ISERROR(F7),ISNA(F7),F7=""),"","'"&amp;SUBSTITUTE(data!C6,"'","\'")&amp;"'"&amp;",")</f>
        <v>'Oceania',</v>
      </c>
      <c r="H7" t="str">
        <f>IF(OR(ISBLANK(A7),ISERR(A7),ISERROR(A7),ISNA(A7),A7=""&amp;ISBLANK(data!D6),ISERR(data!D6),ISERROR(data!D6),ISNA(data!D6),data!D6=""),"","'"&amp;H$1&amp;"' =&gt; ")</f>
        <v xml:space="preserve">'demonym' =&gt; </v>
      </c>
      <c r="I7" t="str">
        <f>IF(OR(ISBLANK(H7),ISERR(H7),ISERROR(H7),ISNA(H7),H7=""),"","'"&amp;SUBSTITUTE(data!D6,"'","\'")&amp;"'"&amp;",")</f>
        <v>'Oceanian',</v>
      </c>
      <c r="J7" t="str">
        <f t="shared" si="0"/>
        <v>],</v>
      </c>
    </row>
    <row r="8" spans="1:10" x14ac:dyDescent="0.35">
      <c r="A8" t="str">
        <f>IF(OR(ISBLANK(data!A7),ISERR(data!A7),ISERROR(data!A7),ISNA(data!A7),data!A7="",ISBLANK(data!B7),ISERR(data!B7),ISERROR(data!B7),ISNA(data!B7),data!B7="",ISBLANK(data!C7),ISERR(data!C7),ISERROR(data!C7),ISNA(data!C7),data!C7=""),"","[")</f>
        <v/>
      </c>
      <c r="B8" t="str">
        <f>IF(OR(ISBLANK(A8),ISERR(A8),ISERROR(A8),ISNA(A8),A8=""&amp;ISBLANK(data!A7),ISERR(data!A7),ISERROR(data!A7),ISNA(data!A7),data!A7=""),"","'"&amp;B$1&amp;"' =&gt; ")</f>
        <v/>
      </c>
      <c r="C8" t="str">
        <f>IF(OR(ISBLANK(B8),ISERR(B8),ISERROR(B8),ISNA(B8),B8=""),"",IF(ISTEXT(data!A7),"'"&amp;data!A7&amp;"'",data!A7)&amp;",")</f>
        <v/>
      </c>
      <c r="D8" t="str">
        <f>IF(OR(ISBLANK(A8),ISERR(A8),ISERROR(A8),ISNA(A8),A8=""&amp;ISBLANK(data!B7),ISERR(data!B7),ISERROR(data!B7),ISNA(data!B7),data!B7=""),"","'"&amp;D$1&amp;"' =&gt; ")</f>
        <v/>
      </c>
      <c r="E8" t="str">
        <f>IF(OR(ISBLANK(D8),ISERR(D8),ISERROR(D8),ISNA(D8),D8=""),"",IF(ISTEXT(data!B7),"'"&amp;data!B7&amp;"'",data!B7)&amp;",")</f>
        <v/>
      </c>
      <c r="F8" t="str">
        <f>IF(OR(ISBLANK(A8),ISERR(A8),ISERROR(A8),ISNA(A8),A8=""&amp;ISBLANK(data!C7),ISERR(data!C7),ISERROR(data!C7),ISNA(data!C7),data!C7=""),"","'"&amp;F$1&amp;"' =&gt; ")</f>
        <v/>
      </c>
      <c r="G8" t="str">
        <f>IF(OR(ISBLANK(F8),ISERR(F8),ISERROR(F8),ISNA(F8),F8=""),"","'"&amp;SUBSTITUTE(data!C7,"'","\'")&amp;"'"&amp;",")</f>
        <v/>
      </c>
      <c r="H8" t="str">
        <f>IF(OR(ISBLANK(A8),ISERR(A8),ISERROR(A8),ISNA(A8),A8=""&amp;ISBLANK(data!D7),ISERR(data!D7),ISERROR(data!D7),ISNA(data!D7),data!D7=""),"","'"&amp;H$1&amp;"' =&gt; ")</f>
        <v/>
      </c>
      <c r="I8" t="str">
        <f>IF(OR(ISBLANK(H8),ISERR(H8),ISERROR(H8),ISNA(H8),H8=""),"","'"&amp;SUBSTITUTE(data!D7,"'","\'")&amp;"'"&amp;",")</f>
        <v/>
      </c>
      <c r="J8" t="str">
        <f t="shared" si="0"/>
        <v/>
      </c>
    </row>
    <row r="9" spans="1:10" x14ac:dyDescent="0.35">
      <c r="A9" t="str">
        <f>IF(OR(ISBLANK(data!A8),ISERR(data!A8),ISERROR(data!A8),ISNA(data!A8),data!A8="",ISBLANK(data!B8),ISERR(data!B8),ISERROR(data!B8),ISNA(data!B8),data!B8="",ISBLANK(data!C8),ISERR(data!C8),ISERROR(data!C8),ISNA(data!C8),data!C8=""),"","[")</f>
        <v/>
      </c>
      <c r="B9" t="str">
        <f>IF(OR(ISBLANK(A9),ISERR(A9),ISERROR(A9),ISNA(A9),A9=""&amp;ISBLANK(data!A8),ISERR(data!A8),ISERROR(data!A8),ISNA(data!A8),data!A8=""),"","'"&amp;B$1&amp;"' =&gt; ")</f>
        <v/>
      </c>
      <c r="C9" t="str">
        <f>IF(OR(ISBLANK(B9),ISERR(B9),ISERROR(B9),ISNA(B9),B9=""),"",IF(ISTEXT(data!A8),"'"&amp;data!A8&amp;"'",data!A8)&amp;",")</f>
        <v/>
      </c>
      <c r="D9" t="str">
        <f>IF(OR(ISBLANK(A9),ISERR(A9),ISERROR(A9),ISNA(A9),A9=""&amp;ISBLANK(data!B8),ISERR(data!B8),ISERROR(data!B8),ISNA(data!B8),data!B8=""),"","'"&amp;D$1&amp;"' =&gt; ")</f>
        <v/>
      </c>
      <c r="E9" t="str">
        <f>IF(OR(ISBLANK(D9),ISERR(D9),ISERROR(D9),ISNA(D9),D9=""),"",IF(ISTEXT(data!B8),"'"&amp;data!B8&amp;"'",data!B8)&amp;",")</f>
        <v/>
      </c>
      <c r="F9" t="str">
        <f>IF(OR(ISBLANK(A9),ISERR(A9),ISERROR(A9),ISNA(A9),A9=""&amp;ISBLANK(data!C8),ISERR(data!C8),ISERROR(data!C8),ISNA(data!C8),data!C8=""),"","'"&amp;F$1&amp;"' =&gt; ")</f>
        <v/>
      </c>
      <c r="G9" t="str">
        <f>IF(OR(ISBLANK(F9),ISERR(F9),ISERROR(F9),ISNA(F9),F9=""),"","'"&amp;SUBSTITUTE(data!C8,"'","\'")&amp;"'"&amp;",")</f>
        <v/>
      </c>
      <c r="H9" t="str">
        <f>IF(OR(ISBLANK(A9),ISERR(A9),ISERROR(A9),ISNA(A9),A9=""&amp;ISBLANK(data!D8),ISERR(data!D8),ISERROR(data!D8),ISNA(data!D8),data!D8=""),"","'"&amp;H$1&amp;"' =&gt; ")</f>
        <v/>
      </c>
      <c r="I9" t="str">
        <f>IF(OR(ISBLANK(H9),ISERR(H9),ISERROR(H9),ISNA(H9),H9=""),"","'"&amp;SUBSTITUTE(data!D8,"'","\'")&amp;"'"&amp;",")</f>
        <v/>
      </c>
      <c r="J9" t="str">
        <f t="shared" si="0"/>
        <v/>
      </c>
    </row>
    <row r="10" spans="1:10" x14ac:dyDescent="0.35">
      <c r="A10" t="str">
        <f>IF(OR(ISBLANK(data!A9),ISERR(data!A9),ISERROR(data!A9),ISNA(data!A9),data!A9="",ISBLANK(data!B9),ISERR(data!B9),ISERROR(data!B9),ISNA(data!B9),data!B9="",ISBLANK(data!C9),ISERR(data!C9),ISERROR(data!C9),ISNA(data!C9),data!C9=""),"","[")</f>
        <v/>
      </c>
      <c r="B10" t="str">
        <f>IF(OR(ISBLANK(A10),ISERR(A10),ISERROR(A10),ISNA(A10),A10=""&amp;ISBLANK(data!A9),ISERR(data!A9),ISERROR(data!A9),ISNA(data!A9),data!A9=""),"","'"&amp;B$1&amp;"' =&gt; ")</f>
        <v/>
      </c>
      <c r="C10" t="str">
        <f>IF(OR(ISBLANK(B10),ISERR(B10),ISERROR(B10),ISNA(B10),B10=""),"",IF(ISTEXT(data!A9),"'"&amp;data!A9&amp;"'",data!A9)&amp;",")</f>
        <v/>
      </c>
      <c r="D10" t="str">
        <f>IF(OR(ISBLANK(A10),ISERR(A10),ISERROR(A10),ISNA(A10),A10=""&amp;ISBLANK(data!B9),ISERR(data!B9),ISERROR(data!B9),ISNA(data!B9),data!B9=""),"","'"&amp;D$1&amp;"' =&gt; ")</f>
        <v/>
      </c>
      <c r="E10" t="str">
        <f>IF(OR(ISBLANK(D10),ISERR(D10),ISERROR(D10),ISNA(D10),D10=""),"",IF(ISTEXT(data!B9),"'"&amp;data!B9&amp;"'",data!B9)&amp;",")</f>
        <v/>
      </c>
      <c r="F10" t="str">
        <f>IF(OR(ISBLANK(A10),ISERR(A10),ISERROR(A10),ISNA(A10),A10=""&amp;ISBLANK(data!C9),ISERR(data!C9),ISERROR(data!C9),ISNA(data!C9),data!C9=""),"","'"&amp;F$1&amp;"' =&gt; ")</f>
        <v/>
      </c>
      <c r="G10" t="str">
        <f>IF(OR(ISBLANK(F10),ISERR(F10),ISERROR(F10),ISNA(F10),F10=""),"","'"&amp;SUBSTITUTE(data!C9,"'","\'")&amp;"'"&amp;",")</f>
        <v/>
      </c>
      <c r="H10" t="str">
        <f>IF(OR(ISBLANK(A10),ISERR(A10),ISERROR(A10),ISNA(A10),A10=""&amp;ISBLANK(data!D9),ISERR(data!D9),ISERROR(data!D9),ISNA(data!D9),data!D9=""),"","'"&amp;H$1&amp;"' =&gt; ")</f>
        <v/>
      </c>
      <c r="I10" t="str">
        <f>IF(OR(ISBLANK(H10),ISERR(H10),ISERROR(H10),ISNA(H10),H10=""),"","'"&amp;SUBSTITUTE(data!D9,"'","\'")&amp;"'"&amp;",")</f>
        <v/>
      </c>
      <c r="J10" t="str">
        <f t="shared" si="0"/>
        <v/>
      </c>
    </row>
    <row r="11" spans="1:10" x14ac:dyDescent="0.35">
      <c r="A11" t="str">
        <f>IF(OR(ISBLANK(data!A10),ISERR(data!A10),ISERROR(data!A10),ISNA(data!A10),data!A10="",ISBLANK(data!B10),ISERR(data!B10),ISERROR(data!B10),ISNA(data!B10),data!B10="",ISBLANK(data!C10),ISERR(data!C10),ISERROR(data!C10),ISNA(data!C10),data!C10=""),"","[")</f>
        <v/>
      </c>
      <c r="B11" t="str">
        <f>IF(OR(ISBLANK(A11),ISERR(A11),ISERROR(A11),ISNA(A11),A11=""&amp;ISBLANK(data!A10),ISERR(data!A10),ISERROR(data!A10),ISNA(data!A10),data!A10=""),"","'"&amp;B$1&amp;"' =&gt; ")</f>
        <v/>
      </c>
      <c r="C11" t="str">
        <f>IF(OR(ISBLANK(B11),ISERR(B11),ISERROR(B11),ISNA(B11),B11=""),"",IF(ISTEXT(data!A10),"'"&amp;data!A10&amp;"'",data!A10)&amp;",")</f>
        <v/>
      </c>
      <c r="D11" t="str">
        <f>IF(OR(ISBLANK(A11),ISERR(A11),ISERROR(A11),ISNA(A11),A11=""&amp;ISBLANK(data!B10),ISERR(data!B10),ISERROR(data!B10),ISNA(data!B10),data!B10=""),"","'"&amp;D$1&amp;"' =&gt; ")</f>
        <v/>
      </c>
      <c r="E11" t="str">
        <f>IF(OR(ISBLANK(D11),ISERR(D11),ISERROR(D11),ISNA(D11),D11=""),"",IF(ISTEXT(data!B10),"'"&amp;data!B10&amp;"'",data!B10)&amp;",")</f>
        <v/>
      </c>
      <c r="F11" t="str">
        <f>IF(OR(ISBLANK(A11),ISERR(A11),ISERROR(A11),ISNA(A11),A11=""&amp;ISBLANK(data!C10),ISERR(data!C10),ISERROR(data!C10),ISNA(data!C10),data!C10=""),"","'"&amp;F$1&amp;"' =&gt; ")</f>
        <v/>
      </c>
      <c r="G11" t="str">
        <f>IF(OR(ISBLANK(F11),ISERR(F11),ISERROR(F11),ISNA(F11),F11=""),"","'"&amp;SUBSTITUTE(data!C10,"'","\'")&amp;"'"&amp;",")</f>
        <v/>
      </c>
      <c r="H11" t="str">
        <f>IF(OR(ISBLANK(A11),ISERR(A11),ISERROR(A11),ISNA(A11),A11=""&amp;ISBLANK(data!D10),ISERR(data!D10),ISERROR(data!D10),ISNA(data!D10),data!D10=""),"","'"&amp;H$1&amp;"' =&gt; ")</f>
        <v/>
      </c>
      <c r="I11" t="str">
        <f>IF(OR(ISBLANK(H11),ISERR(H11),ISERROR(H11),ISNA(H11),H11=""),"","'"&amp;SUBSTITUTE(data!D10,"'","\'")&amp;"'"&amp;",")</f>
        <v/>
      </c>
      <c r="J11" t="str">
        <f t="shared" si="0"/>
        <v/>
      </c>
    </row>
  </sheetData>
  <mergeCells count="6">
    <mergeCell ref="A1:A2"/>
    <mergeCell ref="B1:C1"/>
    <mergeCell ref="D1:E1"/>
    <mergeCell ref="F1:G1"/>
    <mergeCell ref="H1:I1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array.php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Regions</dc:title>
  <dc:creator>Dyo Wiranata Mulya</dc:creator>
  <cp:keywords>adm,dyonmulya</cp:keywords>
  <cp:lastModifiedBy>Dyo Wiranata Mulya</cp:lastModifiedBy>
  <dcterms:created xsi:type="dcterms:W3CDTF">2015-06-05T18:17:20Z</dcterms:created>
  <dcterms:modified xsi:type="dcterms:W3CDTF">2025-11-15T19:50:04Z</dcterms:modified>
  <cp:category>administrative</cp:category>
</cp:coreProperties>
</file>